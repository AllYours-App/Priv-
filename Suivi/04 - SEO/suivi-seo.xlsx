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Checklist" sheetId="2" state="visible" r:id="rId4"/>
    <sheet name="Pages" sheetId="3" state="visible" r:id="rId5"/>
  </sheets>
  <definedNames>
    <definedName function="false" hidden="true" localSheetId="1" name="_xlnm._FilterDatabase" vbProcedure="false">Checklist!$A$1:$G$120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<sst xmlns="http://schemas.openxmlformats.org/spreadsheetml/2006/main" count="315" uniqueCount="122">
  <si>
    <t xml:space="preserve">Suivi SEO du projet</t>
  </si>
  <si>
    <t xml:space="preserve">Cellules jaunes : à compléter. Le reste se calcule tout seul.</t>
  </si>
  <si>
    <t xml:space="preserve">Projet / client</t>
  </si>
  <si>
    <t xml:space="preserve">Exemple : ducoinweb.fr</t>
  </si>
  <si>
    <t xml:space="preserve">URL du site</t>
  </si>
  <si>
    <t xml:space="preserve">Exemple : https://ducoinweb.fr/</t>
  </si>
  <si>
    <t xml:space="preserve">Date de début</t>
  </si>
  <si>
    <t xml:space="preserve">Exemple : 15/10/2026</t>
  </si>
  <si>
    <t xml:space="preserve">Formule vendue</t>
  </si>
  <si>
    <t xml:space="preserve">Essentiel = niveau de base. Complet = base + renforcé.</t>
  </si>
  <si>
    <t xml:space="preserve">Avancement</t>
  </si>
  <si>
    <t xml:space="preserve">Niveau</t>
  </si>
  <si>
    <t xml:space="preserve">Tâches</t>
  </si>
  <si>
    <t xml:space="preserve">Faites</t>
  </si>
  <si>
    <t xml:space="preserve">Base</t>
  </si>
  <si>
    <t xml:space="preserve">Renforcé</t>
  </si>
  <si>
    <t xml:space="preserve">Total</t>
  </si>
  <si>
    <t xml:space="preserve">Prochaine tâche</t>
  </si>
  <si>
    <t xml:space="preserve">Avancement par catégorie</t>
  </si>
  <si>
    <t xml:space="preserve">Catégorie</t>
  </si>
  <si>
    <t xml:space="preserve">Indexation et technique</t>
  </si>
  <si>
    <t xml:space="preserve">Balises de chaque page</t>
  </si>
  <si>
    <t xml:space="preserve">Contenu</t>
  </si>
  <si>
    <t xml:space="preserve">Liens</t>
  </si>
  <si>
    <t xml:space="preserve">Images</t>
  </si>
  <si>
    <t xml:space="preserve">Performance et mobile</t>
  </si>
  <si>
    <t xml:space="preserve">Google</t>
  </si>
  <si>
    <t xml:space="preserve">Fiche Google Business Profile</t>
  </si>
  <si>
    <t xml:space="preserve">Cohérence des informations</t>
  </si>
  <si>
    <t xml:space="preserve">Présence locale</t>
  </si>
  <si>
    <t xml:space="preserve">Galerie photo</t>
  </si>
  <si>
    <t xml:space="preserve">Suivi</t>
  </si>
  <si>
    <t xml:space="preserve">Mode d'emploi</t>
  </si>
  <si>
    <t xml:space="preserve">Onglet Checklist : choisir un statut dans la liste de la colonne E, saisir la date en F, noter les remarques en G.</t>
  </si>
  <si>
    <t xml:space="preserve">Les lignes vides de la Checklist (jusqu'à la ligne 120) servent à ajouter des tâches propres au projet. Renseigner le niveau (Base ou Renforcé), la catégorie et la tâche.</t>
  </si>
  <si>
    <t xml:space="preserve">Onglet Pages : une ligne par page du site. Copier le title et la meta description, la longueur se calcule seule.</t>
  </si>
  <si>
    <t xml:space="preserve">La colonne H de la Checklist est masquée : elle sert à calculer la prochaine tâche. Ne pas la supprimer.</t>
  </si>
  <si>
    <t xml:space="preserve">La ligne d'exemple de l'onglet Pages (Tarifs) est à remplacer par les pages du projet.</t>
  </si>
  <si>
    <t xml:space="preserve">N°</t>
  </si>
  <si>
    <t xml:space="preserve">Tâche</t>
  </si>
  <si>
    <t xml:space="preserve">Statut</t>
  </si>
  <si>
    <t xml:space="preserve">Date</t>
  </si>
  <si>
    <t xml:space="preserve">Notes</t>
  </si>
  <si>
    <t xml:space="preserve">Ordre</t>
  </si>
  <si>
    <t xml:space="preserve">Le site répond en HTTPS, et http:// redirige vers https://</t>
  </si>
  <si>
    <t xml:space="preserve">À faire</t>
  </si>
  <si>
    <t xml:space="preserve">robots.txt présent, sans Disallow sur les pages utiles, avec l'URL du sitemap</t>
  </si>
  <si>
    <t xml:space="preserve">sitemap.xml présent, avec uniquement des URLs qui répondent en 200 (pas de 404, pas de redirection)</t>
  </si>
  <si>
    <t xml:space="preserve">URLs du sitemap identiques aux URLs canoniques (sans .html si le site les redirige)</t>
  </si>
  <si>
    <t xml:space="preserve">Une balise canonical par page, qui pointe vers elle-même</t>
  </si>
  <si>
    <t xml:space="preserve">Aucune URL en double : /index.html redirige vers /, les .html vers l'URL sans extension</t>
  </si>
  <si>
    <t xml:space="preserve">Page 404 personnalisée en noindex</t>
  </si>
  <si>
    <t xml:space="preserve">Slugs courts, en minuscules, avec des tirets, sans accent ni espace</t>
  </si>
  <si>
    <t xml:space="preserve">Redirection 301 pour chaque URL renommée ou supprimée</t>
  </si>
  <si>
    <t xml:space="preserve">title unique, 60 caractères maximum, mot-clé principal au début</t>
  </si>
  <si>
    <t xml:space="preserve">meta description unique, entre 100 et 155 caractères, avec une promesse concrète (délai, prix)</t>
  </si>
  <si>
    <t xml:space="preserve">Pas de meta keywords (ignorée par Google)</t>
  </si>
  <si>
    <t xml:space="preserve">Un seul h1 par page, puis h2 et h3 sans saut de niveau</t>
  </si>
  <si>
    <t xml:space="preserve">lang="fr" sur la balise html</t>
  </si>
  <si>
    <t xml:space="preserve">og:title, og:description, og:image (URL absolue) et og:url identiques ou cohérents avec le title</t>
  </si>
  <si>
    <t xml:space="preserve">Une page par sujet : prix, déroulement, FAQ, à propos, contact</t>
  </si>
  <si>
    <t xml:space="preserve">Chaque page répond à des questions réelles d'un futur client (délai, prix, propriété, retouches, paiement)</t>
  </si>
  <si>
    <t xml:space="preserve">Aucun chiffre, avis, témoignage ou logo client inventé</t>
  </si>
  <si>
    <t xml:space="preserve">Titres de sections tournés vers le client ("Ce que vous recevez") plutôt que vers soi</t>
  </si>
  <si>
    <t xml:space="preserve">Mentions légales et politique de confidentialité complètes</t>
  </si>
  <si>
    <t xml:space="preserve">Liens internes écrits sans .html (/tarifs, /contact) et logo vers /</t>
  </si>
  <si>
    <t xml:space="preserve">Nav et footer identiques sur toutes les pages, sans lien mort</t>
  </si>
  <si>
    <t xml:space="preserve">Chaque page de contenu est liée depuis au moins une autre page</t>
  </si>
  <si>
    <t xml:space="preserve">Liens externes testés à la main (calendrier de rendez-vous, CNIL, hébergeur)</t>
  </si>
  <si>
    <t xml:space="preserve">Aucune ancre #... qui pointe vers un id inexistant</t>
  </si>
  <si>
    <t xml:space="preserve">Attribut alt descriptif sur chaque image utile, vide uniquement pour les images décoratives</t>
  </si>
  <si>
    <t xml:space="preserve">width et height renseignés sur chaque image</t>
  </si>
  <si>
    <t xml:space="preserve">Format WebP ou SVG, poids inférieur à 150 Ko par image de contenu</t>
  </si>
  <si>
    <t xml:space="preserve">Image Open Graph de 1200 x 630 px, inférieure à 300 Ko</t>
  </si>
  <si>
    <t xml:space="preserve">Noms de fichiers sans espace ni accent</t>
  </si>
  <si>
    <t xml:space="preserve">Aucune image inutilisée dans le dossier assets/ du repo (pas seulement en local)</t>
  </si>
  <si>
    <t xml:space="preserve">PageSpeed Insights passé sur l'accueil et sur une page de contenu, mobile et ordinateur</t>
  </si>
  <si>
    <t xml:space="preserve">Core Web Vitals : LCP sous 2,5 s, CLS sous 0,1, INP sous 200 ms</t>
  </si>
  <si>
    <t xml:space="preserve">Polices locales et préchargées, scripts en defer</t>
  </si>
  <si>
    <t xml:space="preserve">Affichage vérifié de 320 à 1440 px, sans défilement horizontal</t>
  </si>
  <si>
    <t xml:space="preserve">Zones cliquables d'au moins 48 px, menu mobile utilisable</t>
  </si>
  <si>
    <t xml:space="preserve">Propriété validée dans la Search Console</t>
  </si>
  <si>
    <t xml:space="preserve">Sitemap soumis, statut "Réussite", nombre de pages découvertes égal au nombre d'URLs du sitemap</t>
  </si>
  <si>
    <t xml:space="preserve">Inspection d'URL puis "Demander une indexation" pour l'accueil, /tarifs et /contact</t>
  </si>
  <si>
    <t xml:space="preserve">Données structurées ProfessionalService (ou LocalBusiness) sur l'accueil, avec des données réelles uniquement</t>
  </si>
  <si>
    <t xml:space="preserve">Fiche Google Business Profile créée si l'activité est éligible (contact en personne avec les clients, dans un local ou chez eux)</t>
  </si>
  <si>
    <t xml:space="preserve">Adresse ou zone de service valide : pas de pays, villes précises, 20 zones maximum, environ 2 heures de route autour du lieu d'activité</t>
  </si>
  <si>
    <t xml:space="preserve">Épingle cohérente avec l'adresse, ou adresse masquée avec zone de service</t>
  </si>
  <si>
    <t xml:space="preserve">Catégorie principale exacte, catégories secondaires pertinentes</t>
  </si>
  <si>
    <t xml:space="preserve">Description, horaires, téléphone, lien du site et lien de prise de rendez-vous renseignés</t>
  </si>
  <si>
    <t xml:space="preserve">Services listés avec une description courte</t>
  </si>
  <si>
    <t xml:space="preserve">Photos réelles de l'activité, jamais de photos de banque d'images</t>
  </si>
  <si>
    <t xml:space="preserve">Lien direct pour demander un avis, transmis au client</t>
  </si>
  <si>
    <t xml:space="preserve">Nom, adresse et téléphone identiques sur le site, les mentions légales, la fiche Google et les annuaires</t>
  </si>
  <si>
    <t xml:space="preserve">Données structurées complétées : adresse ou zone desservie, horaires, lien vers la fiche Google</t>
  </si>
  <si>
    <t xml:space="preserve">Même nom d'activité partout (pas de variante entre "P-A Ducoin" et "Pierre Ducoin")</t>
  </si>
  <si>
    <t xml:space="preserve">Inscription dans 3 à 5 annuaires ou services de cartes pertinents (Bing Places, Apple Business Connect, annuaire de la profession), avec les mêmes informations</t>
  </si>
  <si>
    <t xml:space="preserve">Une page par ville ou zone réellement desservie, avec un contenu propre à chaque lieu (pas de pages copiées avec le nom de ville changé)</t>
  </si>
  <si>
    <t xml:space="preserve">Une à trois pages ou articles répondant à des questions locales réelles du client</t>
  </si>
  <si>
    <t xml:space="preserve">Noms de fichiers descriptifs, alt précis, WebP, chargement différé (loading="lazy") hors première image visible</t>
  </si>
  <si>
    <t xml:space="preserve">Contrôle du rapport "Pages" de la Search Console à 7 jours : toutes les URLs du sitemap indexées</t>
  </si>
  <si>
    <t xml:space="preserve">Contrôle des requêtes et des clics à 30 jours, partagé avec le client</t>
  </si>
  <si>
    <t xml:space="preserve">Page</t>
  </si>
  <si>
    <t xml:space="preserve">URL</t>
  </si>
  <si>
    <t xml:space="preserve">Title</t>
  </si>
  <si>
    <t xml:space="preserve">Long. title</t>
  </si>
  <si>
    <t xml:space="preserve">Meta description</t>
  </si>
  <si>
    <t xml:space="preserve">Long. description</t>
  </si>
  <si>
    <t xml:space="preserve">H1 unique</t>
  </si>
  <si>
    <t xml:space="preserve">Alt sur images</t>
  </si>
  <si>
    <t xml:space="preserve">og:image</t>
  </si>
  <si>
    <t xml:space="preserve">Dans le sitemap</t>
  </si>
  <si>
    <t xml:space="preserve">Indexée (Search Console)</t>
  </si>
  <si>
    <t xml:space="preserve">Date de contrôle</t>
  </si>
  <si>
    <t xml:space="preserve">Tarifs</t>
  </si>
  <si>
    <t xml:space="preserve">https://ducoinweb.fr/tarifs</t>
  </si>
  <si>
    <t xml:space="preserve">Création de site vitrine : 900 € ou 1 600 € | P-A Ducoin</t>
  </si>
  <si>
    <t xml:space="preserve">Deux formules à prix fixe : Essentiel à 900 € et Complet à 1 600 €. Contenu de chaque formule, options, retouches et paiement.</t>
  </si>
  <si>
    <t xml:space="preserve">Oui</t>
  </si>
  <si>
    <t xml:space="preserve">À vérifier</t>
  </si>
  <si>
    <t xml:space="preserve">Exemple à remplacer par les pages du projet</t>
  </si>
  <si>
    <t xml:space="preserve">Title : 60 caractères maximum (rouge au-delà). Meta description : entre 100 et 155 caractères (rouge sinon).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</si>
</sst>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color rgb="FFA6A6A6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5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5" t="s">
        <v>3</v>
      </c>
    </row>
    <row r="4" customFormat="false" ht="15" hidden="false" customHeight="false" outlineLevel="0" collapsed="false">
      <c r="A4" s="3" t="s">
        <v>4</v>
      </c>
      <c r="B4" s="4"/>
      <c r="C4" s="5" t="s">
        <v>5</v>
      </c>
    </row>
    <row r="5" customFormat="false" ht="15" hidden="false" customHeight="false" outlineLevel="0" collapsed="false">
      <c r="A5" s="3" t="s">
        <v>6</v>
      </c>
      <c r="B5" s="6"/>
      <c r="C5" s="5" t="s">
        <v>7</v>
      </c>
    </row>
    <row r="6" customFormat="false" ht="15" hidden="false" customHeight="false" outlineLevel="0" collapsed="false">
      <c r="A6" s="3" t="s">
        <v>8</v>
      </c>
      <c r="B6" s="4"/>
      <c r="C6" s="5" t="s">
        <v>9</v>
      </c>
    </row>
    <row r="8" customFormat="false" ht="15" hidden="false" customHeight="false" outlineLevel="0" collapsed="false">
      <c r="A8" s="7" t="s">
        <v>10</v>
      </c>
    </row>
    <row r="9" customFormat="false" ht="15" hidden="false" customHeight="false" outlineLevel="0" collapsed="false">
      <c r="A9" s="8" t="s">
        <v>11</v>
      </c>
      <c r="B9" s="8" t="s">
        <v>12</v>
      </c>
      <c r="C9" s="8" t="s">
        <v>13</v>
      </c>
      <c r="D9" s="8" t="s">
        <v>10</v>
      </c>
    </row>
    <row r="10" customFormat="false" ht="15" hidden="false" customHeight="false" outlineLevel="0" collapsed="false">
      <c r="A10" s="9" t="s">
        <v>14</v>
      </c>
      <c r="B10" s="9" t="n">
        <f aca="false">COUNTIFS(Checklist!$B$2:$B$120,"Base",Checklist!$E$2:$E$120,"&lt;&gt;Non applicable")</f>
        <v>41</v>
      </c>
      <c r="C10" s="9" t="n">
        <f aca="false">COUNTIFS(Checklist!$B$2:$B$120,"Base",Checklist!$E$2:$E$120,"Fait")</f>
        <v>0</v>
      </c>
      <c r="D10" s="10" t="n">
        <f aca="false">IF(B10=0,"",C10/B10)</f>
        <v>0</v>
      </c>
    </row>
    <row r="11" customFormat="false" ht="15" hidden="false" customHeight="false" outlineLevel="0" collapsed="false">
      <c r="A11" s="9" t="s">
        <v>15</v>
      </c>
      <c r="B11" s="9" t="n">
        <f aca="false">IF($B$6="Essentiel","Non inclus",COUNTIFS(Checklist!$B$2:$B$120,"Renforcé",Checklist!$E$2:$E$120,"&lt;&gt;Non applicable"))</f>
        <v>16</v>
      </c>
      <c r="C11" s="9" t="n">
        <f aca="false">IF($B$6="Essentiel","",COUNTIFS(Checklist!$B$2:$B$120,"Renforcé",Checklist!$E$2:$E$120,"Fait"))</f>
        <v>0</v>
      </c>
      <c r="D11" s="10" t="n">
        <f aca="false">IF($B$6="Essentiel","Non inclus",IF(B11=0,"",C11/B11))</f>
        <v>0</v>
      </c>
    </row>
    <row r="12" customFormat="false" ht="15" hidden="false" customHeight="false" outlineLevel="0" collapsed="false">
      <c r="A12" s="11" t="s">
        <v>16</v>
      </c>
      <c r="B12" s="11" t="n">
        <f aca="false">B10+IF($B$6="Essentiel",0,B11)</f>
        <v>57</v>
      </c>
      <c r="C12" s="11" t="n">
        <f aca="false">C10+IF($B$6="Essentiel",0,C11)</f>
        <v>0</v>
      </c>
      <c r="D12" s="12" t="n">
        <f aca="false">IF(B12=0,"",C12/B12)</f>
        <v>0</v>
      </c>
    </row>
    <row r="14" customFormat="false" ht="15" hidden="false" customHeight="false" outlineLevel="0" collapsed="false">
      <c r="A14" s="3" t="s">
        <v>17</v>
      </c>
      <c r="B14" s="13" t="str">
        <f aca="false">IF(MIN(Checklist!$H$2:$H$120)=0,"Tout est fait",INDEX(Checklist!$D$1:$D$120,MIN(Checklist!$H$2:$H$120)))</f>
        <v>Le site répond en HTTPS, et http:// redirige vers https://</v>
      </c>
    </row>
    <row r="16" customFormat="false" ht="15" hidden="false" customHeight="false" outlineLevel="0" collapsed="false">
      <c r="A16" s="7" t="s">
        <v>18</v>
      </c>
    </row>
    <row r="17" customFormat="false" ht="15" hidden="false" customHeight="false" outlineLevel="0" collapsed="false">
      <c r="A17" s="8" t="s">
        <v>19</v>
      </c>
      <c r="B17" s="8" t="s">
        <v>11</v>
      </c>
      <c r="C17" s="8" t="s">
        <v>12</v>
      </c>
      <c r="D17" s="8" t="s">
        <v>13</v>
      </c>
      <c r="E17" s="8" t="s">
        <v>10</v>
      </c>
    </row>
    <row r="18" customFormat="false" ht="15" hidden="false" customHeight="false" outlineLevel="0" collapsed="false">
      <c r="A18" s="9" t="s">
        <v>20</v>
      </c>
      <c r="B18" s="9" t="s">
        <v>14</v>
      </c>
      <c r="C18" s="9" t="n">
        <f aca="false">IF(AND(B18="Renforcé",$B$6="Essentiel"),"Non inclus",COUNTIFS(Checklist!$C$2:$C$120,A18,Checklist!$E$2:$E$120,"&lt;&gt;Non applicable"))</f>
        <v>9</v>
      </c>
      <c r="D18" s="9" t="n">
        <f aca="false">IF(AND(B18="Renforcé",$B$6="Essentiel"),"",COUNTIFS(Checklist!$C$2:$C$120,A18,Checklist!$E$2:$E$120,"Fait"))</f>
        <v>0</v>
      </c>
      <c r="E18" s="10" t="n">
        <f aca="false">IF(AND(B18="Renforcé",$B$6="Essentiel"),"Non inclus",IF(C18=0,"",D18/C18))</f>
        <v>0</v>
      </c>
    </row>
    <row r="19" customFormat="false" ht="15" hidden="false" customHeight="false" outlineLevel="0" collapsed="false">
      <c r="A19" s="9" t="s">
        <v>21</v>
      </c>
      <c r="B19" s="9" t="s">
        <v>14</v>
      </c>
      <c r="C19" s="9" t="n">
        <f aca="false">IF(AND(B19="Renforcé",$B$6="Essentiel"),"Non inclus",COUNTIFS(Checklist!$C$2:$C$120,A19,Checklist!$E$2:$E$120,"&lt;&gt;Non applicable"))</f>
        <v>6</v>
      </c>
      <c r="D19" s="9" t="n">
        <f aca="false">IF(AND(B19="Renforcé",$B$6="Essentiel"),"",COUNTIFS(Checklist!$C$2:$C$120,A19,Checklist!$E$2:$E$120,"Fait"))</f>
        <v>0</v>
      </c>
      <c r="E19" s="10" t="n">
        <f aca="false">IF(AND(B19="Renforcé",$B$6="Essentiel"),"Non inclus",IF(C19=0,"",D19/C19))</f>
        <v>0</v>
      </c>
    </row>
    <row r="20" customFormat="false" ht="15" hidden="false" customHeight="false" outlineLevel="0" collapsed="false">
      <c r="A20" s="9" t="s">
        <v>22</v>
      </c>
      <c r="B20" s="9" t="s">
        <v>14</v>
      </c>
      <c r="C20" s="9" t="n">
        <f aca="false">IF(AND(B20="Renforcé",$B$6="Essentiel"),"Non inclus",COUNTIFS(Checklist!$C$2:$C$120,A20,Checklist!$E$2:$E$120,"&lt;&gt;Non applicable"))</f>
        <v>5</v>
      </c>
      <c r="D20" s="9" t="n">
        <f aca="false">IF(AND(B20="Renforcé",$B$6="Essentiel"),"",COUNTIFS(Checklist!$C$2:$C$120,A20,Checklist!$E$2:$E$120,"Fait"))</f>
        <v>0</v>
      </c>
      <c r="E20" s="10" t="n">
        <f aca="false">IF(AND(B20="Renforcé",$B$6="Essentiel"),"Non inclus",IF(C20=0,"",D20/C20))</f>
        <v>0</v>
      </c>
    </row>
    <row r="21" customFormat="false" ht="15" hidden="false" customHeight="false" outlineLevel="0" collapsed="false">
      <c r="A21" s="9" t="s">
        <v>23</v>
      </c>
      <c r="B21" s="9" t="s">
        <v>14</v>
      </c>
      <c r="C21" s="9" t="n">
        <f aca="false">IF(AND(B21="Renforcé",$B$6="Essentiel"),"Non inclus",COUNTIFS(Checklist!$C$2:$C$120,A21,Checklist!$E$2:$E$120,"&lt;&gt;Non applicable"))</f>
        <v>5</v>
      </c>
      <c r="D21" s="9" t="n">
        <f aca="false">IF(AND(B21="Renforcé",$B$6="Essentiel"),"",COUNTIFS(Checklist!$C$2:$C$120,A21,Checklist!$E$2:$E$120,"Fait"))</f>
        <v>0</v>
      </c>
      <c r="E21" s="10" t="n">
        <f aca="false">IF(AND(B21="Renforcé",$B$6="Essentiel"),"Non inclus",IF(C21=0,"",D21/C21))</f>
        <v>0</v>
      </c>
    </row>
    <row r="22" customFormat="false" ht="15" hidden="false" customHeight="false" outlineLevel="0" collapsed="false">
      <c r="A22" s="9" t="s">
        <v>24</v>
      </c>
      <c r="B22" s="9" t="s">
        <v>14</v>
      </c>
      <c r="C22" s="9" t="n">
        <f aca="false">IF(AND(B22="Renforcé",$B$6="Essentiel"),"Non inclus",COUNTIFS(Checklist!$C$2:$C$120,A22,Checklist!$E$2:$E$120,"&lt;&gt;Non applicable"))</f>
        <v>6</v>
      </c>
      <c r="D22" s="9" t="n">
        <f aca="false">IF(AND(B22="Renforcé",$B$6="Essentiel"),"",COUNTIFS(Checklist!$C$2:$C$120,A22,Checklist!$E$2:$E$120,"Fait"))</f>
        <v>0</v>
      </c>
      <c r="E22" s="10" t="n">
        <f aca="false">IF(AND(B22="Renforcé",$B$6="Essentiel"),"Non inclus",IF(C22=0,"",D22/C22))</f>
        <v>0</v>
      </c>
    </row>
    <row r="23" customFormat="false" ht="15" hidden="false" customHeight="false" outlineLevel="0" collapsed="false">
      <c r="A23" s="9" t="s">
        <v>25</v>
      </c>
      <c r="B23" s="9" t="s">
        <v>14</v>
      </c>
      <c r="C23" s="9" t="n">
        <f aca="false">IF(AND(B23="Renforcé",$B$6="Essentiel"),"Non inclus",COUNTIFS(Checklist!$C$2:$C$120,A23,Checklist!$E$2:$E$120,"&lt;&gt;Non applicable"))</f>
        <v>5</v>
      </c>
      <c r="D23" s="9" t="n">
        <f aca="false">IF(AND(B23="Renforcé",$B$6="Essentiel"),"",COUNTIFS(Checklist!$C$2:$C$120,A23,Checklist!$E$2:$E$120,"Fait"))</f>
        <v>0</v>
      </c>
      <c r="E23" s="10" t="n">
        <f aca="false">IF(AND(B23="Renforcé",$B$6="Essentiel"),"Non inclus",IF(C23=0,"",D23/C23))</f>
        <v>0</v>
      </c>
    </row>
    <row r="24" customFormat="false" ht="15" hidden="false" customHeight="false" outlineLevel="0" collapsed="false">
      <c r="A24" s="9" t="s">
        <v>26</v>
      </c>
      <c r="B24" s="9" t="s">
        <v>14</v>
      </c>
      <c r="C24" s="9" t="n">
        <f aca="false">IF(AND(B24="Renforcé",$B$6="Essentiel"),"Non inclus",COUNTIFS(Checklist!$C$2:$C$120,A24,Checklist!$E$2:$E$120,"&lt;&gt;Non applicable"))</f>
        <v>5</v>
      </c>
      <c r="D24" s="9" t="n">
        <f aca="false">IF(AND(B24="Renforcé",$B$6="Essentiel"),"",COUNTIFS(Checklist!$C$2:$C$120,A24,Checklist!$E$2:$E$120,"Fait"))</f>
        <v>0</v>
      </c>
      <c r="E24" s="10" t="n">
        <f aca="false">IF(AND(B24="Renforcé",$B$6="Essentiel"),"Non inclus",IF(C24=0,"",D24/C24))</f>
        <v>0</v>
      </c>
    </row>
    <row r="25" customFormat="false" ht="15" hidden="false" customHeight="false" outlineLevel="0" collapsed="false">
      <c r="A25" s="9" t="s">
        <v>27</v>
      </c>
      <c r="B25" s="9" t="s">
        <v>15</v>
      </c>
      <c r="C25" s="9" t="n">
        <f aca="false">IF(AND(B25="Renforcé",$B$6="Essentiel"),"Non inclus",COUNTIFS(Checklist!$C$2:$C$120,A25,Checklist!$E$2:$E$120,"&lt;&gt;Non applicable"))</f>
        <v>7</v>
      </c>
      <c r="D25" s="9" t="n">
        <f aca="false">IF(AND(B25="Renforcé",$B$6="Essentiel"),"",COUNTIFS(Checklist!$C$2:$C$120,A25,Checklist!$E$2:$E$120,"Fait"))</f>
        <v>0</v>
      </c>
      <c r="E25" s="10" t="n">
        <f aca="false">IF(AND(B25="Renforcé",$B$6="Essentiel"),"Non inclus",IF(C25=0,"",D25/C25))</f>
        <v>0</v>
      </c>
    </row>
    <row r="26" customFormat="false" ht="15" hidden="false" customHeight="false" outlineLevel="0" collapsed="false">
      <c r="A26" s="9" t="s">
        <v>28</v>
      </c>
      <c r="B26" s="9" t="s">
        <v>15</v>
      </c>
      <c r="C26" s="9" t="n">
        <f aca="false">IF(AND(B26="Renforcé",$B$6="Essentiel"),"Non inclus",COUNTIFS(Checklist!$C$2:$C$120,A26,Checklist!$E$2:$E$120,"&lt;&gt;Non applicable"))</f>
        <v>3</v>
      </c>
      <c r="D26" s="9" t="n">
        <f aca="false">IF(AND(B26="Renforcé",$B$6="Essentiel"),"",COUNTIFS(Checklist!$C$2:$C$120,A26,Checklist!$E$2:$E$120,"Fait"))</f>
        <v>0</v>
      </c>
      <c r="E26" s="10" t="n">
        <f aca="false">IF(AND(B26="Renforcé",$B$6="Essentiel"),"Non inclus",IF(C26=0,"",D26/C26))</f>
        <v>0</v>
      </c>
    </row>
    <row r="27" customFormat="false" ht="15" hidden="false" customHeight="false" outlineLevel="0" collapsed="false">
      <c r="A27" s="9" t="s">
        <v>29</v>
      </c>
      <c r="B27" s="9" t="s">
        <v>15</v>
      </c>
      <c r="C27" s="9" t="n">
        <f aca="false">IF(AND(B27="Renforcé",$B$6="Essentiel"),"Non inclus",COUNTIFS(Checklist!$C$2:$C$120,A27,Checklist!$E$2:$E$120,"&lt;&gt;Non applicable"))</f>
        <v>3</v>
      </c>
      <c r="D27" s="9" t="n">
        <f aca="false">IF(AND(B27="Renforcé",$B$6="Essentiel"),"",COUNTIFS(Checklist!$C$2:$C$120,A27,Checklist!$E$2:$E$120,"Fait"))</f>
        <v>0</v>
      </c>
      <c r="E27" s="10" t="n">
        <f aca="false">IF(AND(B27="Renforcé",$B$6="Essentiel"),"Non inclus",IF(C27=0,"",D27/C27))</f>
        <v>0</v>
      </c>
    </row>
    <row r="28" customFormat="false" ht="15" hidden="false" customHeight="false" outlineLevel="0" collapsed="false">
      <c r="A28" s="9" t="s">
        <v>30</v>
      </c>
      <c r="B28" s="9" t="s">
        <v>15</v>
      </c>
      <c r="C28" s="9" t="n">
        <f aca="false">IF(AND(B28="Renforcé",$B$6="Essentiel"),"Non inclus",COUNTIFS(Checklist!$C$2:$C$120,A28,Checklist!$E$2:$E$120,"&lt;&gt;Non applicable"))</f>
        <v>1</v>
      </c>
      <c r="D28" s="9" t="n">
        <f aca="false">IF(AND(B28="Renforcé",$B$6="Essentiel"),"",COUNTIFS(Checklist!$C$2:$C$120,A28,Checklist!$E$2:$E$120,"Fait"))</f>
        <v>0</v>
      </c>
      <c r="E28" s="10" t="n">
        <f aca="false">IF(AND(B28="Renforcé",$B$6="Essentiel"),"Non inclus",IF(C28=0,"",D28/C28))</f>
        <v>0</v>
      </c>
    </row>
    <row r="29" customFormat="false" ht="15" hidden="false" customHeight="false" outlineLevel="0" collapsed="false">
      <c r="A29" s="9" t="s">
        <v>31</v>
      </c>
      <c r="B29" s="9" t="s">
        <v>15</v>
      </c>
      <c r="C29" s="9" t="n">
        <f aca="false">IF(AND(B29="Renforcé",$B$6="Essentiel"),"Non inclus",COUNTIFS(Checklist!$C$2:$C$120,A29,Checklist!$E$2:$E$120,"&lt;&gt;Non applicable"))</f>
        <v>2</v>
      </c>
      <c r="D29" s="9" t="n">
        <f aca="false">IF(AND(B29="Renforcé",$B$6="Essentiel"),"",COUNTIFS(Checklist!$C$2:$C$120,A29,Checklist!$E$2:$E$120,"Fait"))</f>
        <v>0</v>
      </c>
      <c r="E29" s="10" t="n">
        <f aca="false">IF(AND(B29="Renforcé",$B$6="Essentiel"),"Non inclus",IF(C29=0,"",D29/C29))</f>
        <v>0</v>
      </c>
    </row>
    <row r="31" customFormat="false" ht="15" hidden="false" customHeight="false" outlineLevel="0" collapsed="false">
      <c r="A31" s="7" t="s">
        <v>32</v>
      </c>
    </row>
    <row r="32" customFormat="false" ht="15" hidden="false" customHeight="false" outlineLevel="0" collapsed="false">
      <c r="A32" s="14" t="s">
        <v>33</v>
      </c>
    </row>
    <row r="33" customFormat="false" ht="15" hidden="false" customHeight="false" outlineLevel="0" collapsed="false">
      <c r="A33" s="14" t="s">
        <v>34</v>
      </c>
    </row>
    <row r="34" customFormat="false" ht="15" hidden="false" customHeight="false" outlineLevel="0" collapsed="false">
      <c r="A34" s="14" t="s">
        <v>35</v>
      </c>
    </row>
    <row r="35" customFormat="false" ht="15" hidden="false" customHeight="false" outlineLevel="0" collapsed="false">
      <c r="A35" s="14" t="s">
        <v>36</v>
      </c>
    </row>
    <row r="36" customFormat="false" ht="15" hidden="false" customHeight="false" outlineLevel="0" collapsed="false">
      <c r="A36" s="14" t="s">
        <v>37</v>
      </c>
    </row>
  </sheetData>
  <dataValidations count="1">
    <dataValidation allowBlank="true" errorStyle="stop" operator="between" showDropDown="false" showErrorMessage="false" showInputMessage="false" sqref="B6" type="list">
      <formula1>"Essentiel,Complet"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true" outlineLevel="0" max="8" min="8" style="0" width="13"/>
  </cols>
  <sheetData>
    <row r="1" customFormat="false" ht="15" hidden="false" customHeight="false" outlineLevel="0" collapsed="false">
      <c r="A1" s="15" t="s">
        <v>38</v>
      </c>
      <c r="B1" s="15" t="s">
        <v>11</v>
      </c>
      <c r="C1" s="15" t="s">
        <v>19</v>
      </c>
      <c r="D1" s="15" t="s">
        <v>39</v>
      </c>
      <c r="E1" s="15" t="s">
        <v>40</v>
      </c>
      <c r="F1" s="15" t="s">
        <v>41</v>
      </c>
      <c r="G1" s="15" t="s">
        <v>42</v>
      </c>
      <c r="H1" s="15" t="s">
        <v>43</v>
      </c>
    </row>
    <row r="2" customFormat="false" ht="15" hidden="false" customHeight="false" outlineLevel="0" collapsed="false">
      <c r="A2" s="16" t="n">
        <v>1</v>
      </c>
      <c r="B2" s="16" t="s">
        <v>14</v>
      </c>
      <c r="C2" s="16" t="s">
        <v>20</v>
      </c>
      <c r="D2" s="16" t="s">
        <v>44</v>
      </c>
      <c r="E2" s="17" t="s">
        <v>45</v>
      </c>
      <c r="F2" s="18"/>
      <c r="G2" s="17"/>
      <c r="H2" s="19" t="n">
        <f aca="false">IF(OR(E2="Fait",E2="Non applicable",D2=""),"",IF(AND(B2="Renforcé",Synthese!$B$6="Essentiel"),"",ROW()))</f>
        <v>2</v>
      </c>
    </row>
    <row r="3" customFormat="false" ht="15" hidden="false" customHeight="false" outlineLevel="0" collapsed="false">
      <c r="A3" s="16" t="n">
        <v>2</v>
      </c>
      <c r="B3" s="16" t="s">
        <v>14</v>
      </c>
      <c r="C3" s="16" t="s">
        <v>20</v>
      </c>
      <c r="D3" s="16" t="s">
        <v>46</v>
      </c>
      <c r="E3" s="17" t="s">
        <v>45</v>
      </c>
      <c r="F3" s="18"/>
      <c r="G3" s="17"/>
      <c r="H3" s="19" t="n">
        <f aca="false">IF(OR(E3="Fait",E3="Non applicable",D3=""),"",IF(AND(B3="Renforcé",Synthese!$B$6="Essentiel"),"",ROW()))</f>
        <v>3</v>
      </c>
    </row>
    <row r="4" customFormat="false" ht="23.85" hidden="false" customHeight="false" outlineLevel="0" collapsed="false">
      <c r="A4" s="16" t="n">
        <v>3</v>
      </c>
      <c r="B4" s="16" t="s">
        <v>14</v>
      </c>
      <c r="C4" s="16" t="s">
        <v>20</v>
      </c>
      <c r="D4" s="16" t="s">
        <v>47</v>
      </c>
      <c r="E4" s="17" t="s">
        <v>45</v>
      </c>
      <c r="F4" s="18"/>
      <c r="G4" s="17"/>
      <c r="H4" s="19" t="n">
        <f aca="false">IF(OR(E4="Fait",E4="Non applicable",D4=""),"",IF(AND(B4="Renforcé",Synthese!$B$6="Essentiel"),"",ROW()))</f>
        <v>4</v>
      </c>
    </row>
    <row r="5" customFormat="false" ht="15" hidden="false" customHeight="false" outlineLevel="0" collapsed="false">
      <c r="A5" s="16" t="n">
        <v>4</v>
      </c>
      <c r="B5" s="16" t="s">
        <v>14</v>
      </c>
      <c r="C5" s="16" t="s">
        <v>20</v>
      </c>
      <c r="D5" s="16" t="s">
        <v>48</v>
      </c>
      <c r="E5" s="17" t="s">
        <v>45</v>
      </c>
      <c r="F5" s="18"/>
      <c r="G5" s="17"/>
      <c r="H5" s="19" t="n">
        <f aca="false">IF(OR(E5="Fait",E5="Non applicable",D5=""),"",IF(AND(B5="Renforcé",Synthese!$B$6="Essentiel"),"",ROW()))</f>
        <v>5</v>
      </c>
    </row>
    <row r="6" customFormat="false" ht="15" hidden="false" customHeight="false" outlineLevel="0" collapsed="false">
      <c r="A6" s="16" t="n">
        <v>5</v>
      </c>
      <c r="B6" s="16" t="s">
        <v>14</v>
      </c>
      <c r="C6" s="16" t="s">
        <v>20</v>
      </c>
      <c r="D6" s="16" t="s">
        <v>49</v>
      </c>
      <c r="E6" s="17" t="s">
        <v>45</v>
      </c>
      <c r="F6" s="18"/>
      <c r="G6" s="17"/>
      <c r="H6" s="19" t="n">
        <f aca="false">IF(OR(E6="Fait",E6="Non applicable",D6=""),"",IF(AND(B6="Renforcé",Synthese!$B$6="Essentiel"),"",ROW()))</f>
        <v>6</v>
      </c>
    </row>
    <row r="7" customFormat="false" ht="15" hidden="false" customHeight="false" outlineLevel="0" collapsed="false">
      <c r="A7" s="16" t="n">
        <v>6</v>
      </c>
      <c r="B7" s="16" t="s">
        <v>14</v>
      </c>
      <c r="C7" s="16" t="s">
        <v>20</v>
      </c>
      <c r="D7" s="16" t="s">
        <v>50</v>
      </c>
      <c r="E7" s="17" t="s">
        <v>45</v>
      </c>
      <c r="F7" s="18"/>
      <c r="G7" s="17"/>
      <c r="H7" s="19" t="n">
        <f aca="false">IF(OR(E7="Fait",E7="Non applicable",D7=""),"",IF(AND(B7="Renforcé",Synthese!$B$6="Essentiel"),"",ROW()))</f>
        <v>7</v>
      </c>
    </row>
    <row r="8" customFormat="false" ht="15" hidden="false" customHeight="false" outlineLevel="0" collapsed="false">
      <c r="A8" s="16" t="n">
        <v>7</v>
      </c>
      <c r="B8" s="16" t="s">
        <v>14</v>
      </c>
      <c r="C8" s="16" t="s">
        <v>20</v>
      </c>
      <c r="D8" s="16" t="s">
        <v>51</v>
      </c>
      <c r="E8" s="17" t="s">
        <v>45</v>
      </c>
      <c r="F8" s="18"/>
      <c r="G8" s="17"/>
      <c r="H8" s="19" t="n">
        <f aca="false">IF(OR(E8="Fait",E8="Non applicable",D8=""),"",IF(AND(B8="Renforcé",Synthese!$B$6="Essentiel"),"",ROW()))</f>
        <v>8</v>
      </c>
    </row>
    <row r="9" customFormat="false" ht="15" hidden="false" customHeight="false" outlineLevel="0" collapsed="false">
      <c r="A9" s="16" t="n">
        <v>8</v>
      </c>
      <c r="B9" s="16" t="s">
        <v>14</v>
      </c>
      <c r="C9" s="16" t="s">
        <v>20</v>
      </c>
      <c r="D9" s="16" t="s">
        <v>52</v>
      </c>
      <c r="E9" s="17" t="s">
        <v>45</v>
      </c>
      <c r="F9" s="18"/>
      <c r="G9" s="17"/>
      <c r="H9" s="19" t="n">
        <f aca="false">IF(OR(E9="Fait",E9="Non applicable",D9=""),"",IF(AND(B9="Renforcé",Synthese!$B$6="Essentiel"),"",ROW()))</f>
        <v>9</v>
      </c>
    </row>
    <row r="10" customFormat="false" ht="15" hidden="false" customHeight="false" outlineLevel="0" collapsed="false">
      <c r="A10" s="16" t="n">
        <v>9</v>
      </c>
      <c r="B10" s="16" t="s">
        <v>14</v>
      </c>
      <c r="C10" s="16" t="s">
        <v>20</v>
      </c>
      <c r="D10" s="16" t="s">
        <v>53</v>
      </c>
      <c r="E10" s="17" t="s">
        <v>45</v>
      </c>
      <c r="F10" s="18"/>
      <c r="G10" s="17"/>
      <c r="H10" s="19" t="n">
        <f aca="false">IF(OR(E10="Fait",E10="Non applicable",D10=""),"",IF(AND(B10="Renforcé",Synthese!$B$6="Essentiel"),"",ROW()))</f>
        <v>10</v>
      </c>
    </row>
    <row r="11" customFormat="false" ht="15" hidden="false" customHeight="false" outlineLevel="0" collapsed="false">
      <c r="A11" s="16" t="n">
        <v>10</v>
      </c>
      <c r="B11" s="16" t="s">
        <v>14</v>
      </c>
      <c r="C11" s="16" t="s">
        <v>21</v>
      </c>
      <c r="D11" s="16" t="s">
        <v>54</v>
      </c>
      <c r="E11" s="17" t="s">
        <v>45</v>
      </c>
      <c r="F11" s="18"/>
      <c r="G11" s="17"/>
      <c r="H11" s="19" t="n">
        <f aca="false">IF(OR(E11="Fait",E11="Non applicable",D11=""),"",IF(AND(B11="Renforcé",Synthese!$B$6="Essentiel"),"",ROW()))</f>
        <v>11</v>
      </c>
    </row>
    <row r="12" customFormat="false" ht="23.85" hidden="false" customHeight="false" outlineLevel="0" collapsed="false">
      <c r="A12" s="16" t="n">
        <v>11</v>
      </c>
      <c r="B12" s="16" t="s">
        <v>14</v>
      </c>
      <c r="C12" s="16" t="s">
        <v>21</v>
      </c>
      <c r="D12" s="16" t="s">
        <v>55</v>
      </c>
      <c r="E12" s="17" t="s">
        <v>45</v>
      </c>
      <c r="F12" s="18"/>
      <c r="G12" s="17"/>
      <c r="H12" s="19" t="n">
        <f aca="false">IF(OR(E12="Fait",E12="Non applicable",D12=""),"",IF(AND(B12="Renforcé",Synthese!$B$6="Essentiel"),"",ROW()))</f>
        <v>12</v>
      </c>
    </row>
    <row r="13" customFormat="false" ht="15" hidden="false" customHeight="false" outlineLevel="0" collapsed="false">
      <c r="A13" s="16" t="n">
        <v>12</v>
      </c>
      <c r="B13" s="16" t="s">
        <v>14</v>
      </c>
      <c r="C13" s="16" t="s">
        <v>21</v>
      </c>
      <c r="D13" s="16" t="s">
        <v>56</v>
      </c>
      <c r="E13" s="17" t="s">
        <v>45</v>
      </c>
      <c r="F13" s="18"/>
      <c r="G13" s="17"/>
      <c r="H13" s="19" t="n">
        <f aca="false">IF(OR(E13="Fait",E13="Non applicable",D13=""),"",IF(AND(B13="Renforcé",Synthese!$B$6="Essentiel"),"",ROW()))</f>
        <v>13</v>
      </c>
    </row>
    <row r="14" customFormat="false" ht="15" hidden="false" customHeight="false" outlineLevel="0" collapsed="false">
      <c r="A14" s="16" t="n">
        <v>13</v>
      </c>
      <c r="B14" s="16" t="s">
        <v>14</v>
      </c>
      <c r="C14" s="16" t="s">
        <v>21</v>
      </c>
      <c r="D14" s="16" t="s">
        <v>57</v>
      </c>
      <c r="E14" s="17" t="s">
        <v>45</v>
      </c>
      <c r="F14" s="18"/>
      <c r="G14" s="17"/>
      <c r="H14" s="19" t="n">
        <f aca="false">IF(OR(E14="Fait",E14="Non applicable",D14=""),"",IF(AND(B14="Renforcé",Synthese!$B$6="Essentiel"),"",ROW()))</f>
        <v>14</v>
      </c>
    </row>
    <row r="15" customFormat="false" ht="15" hidden="false" customHeight="false" outlineLevel="0" collapsed="false">
      <c r="A15" s="16" t="n">
        <v>14</v>
      </c>
      <c r="B15" s="16" t="s">
        <v>14</v>
      </c>
      <c r="C15" s="16" t="s">
        <v>21</v>
      </c>
      <c r="D15" s="16" t="s">
        <v>58</v>
      </c>
      <c r="E15" s="17" t="s">
        <v>45</v>
      </c>
      <c r="F15" s="18"/>
      <c r="G15" s="17"/>
      <c r="H15" s="19" t="n">
        <f aca="false">IF(OR(E15="Fait",E15="Non applicable",D15=""),"",IF(AND(B15="Renforcé",Synthese!$B$6="Essentiel"),"",ROW()))</f>
        <v>15</v>
      </c>
    </row>
    <row r="16" customFormat="false" ht="23.85" hidden="false" customHeight="false" outlineLevel="0" collapsed="false">
      <c r="A16" s="16" t="n">
        <v>15</v>
      </c>
      <c r="B16" s="16" t="s">
        <v>14</v>
      </c>
      <c r="C16" s="16" t="s">
        <v>21</v>
      </c>
      <c r="D16" s="16" t="s">
        <v>59</v>
      </c>
      <c r="E16" s="17" t="s">
        <v>45</v>
      </c>
      <c r="F16" s="18"/>
      <c r="G16" s="17"/>
      <c r="H16" s="19" t="n">
        <f aca="false">IF(OR(E16="Fait",E16="Non applicable",D16=""),"",IF(AND(B16="Renforcé",Synthese!$B$6="Essentiel"),"",ROW()))</f>
        <v>16</v>
      </c>
    </row>
    <row r="17" customFormat="false" ht="15" hidden="false" customHeight="false" outlineLevel="0" collapsed="false">
      <c r="A17" s="16" t="n">
        <v>16</v>
      </c>
      <c r="B17" s="16" t="s">
        <v>14</v>
      </c>
      <c r="C17" s="16" t="s">
        <v>22</v>
      </c>
      <c r="D17" s="16" t="s">
        <v>60</v>
      </c>
      <c r="E17" s="17" t="s">
        <v>45</v>
      </c>
      <c r="F17" s="18"/>
      <c r="G17" s="17"/>
      <c r="H17" s="19" t="n">
        <f aca="false">IF(OR(E17="Fait",E17="Non applicable",D17=""),"",IF(AND(B17="Renforcé",Synthese!$B$6="Essentiel"),"",ROW()))</f>
        <v>17</v>
      </c>
    </row>
    <row r="18" customFormat="false" ht="23.85" hidden="false" customHeight="false" outlineLevel="0" collapsed="false">
      <c r="A18" s="16" t="n">
        <v>17</v>
      </c>
      <c r="B18" s="16" t="s">
        <v>14</v>
      </c>
      <c r="C18" s="16" t="s">
        <v>22</v>
      </c>
      <c r="D18" s="16" t="s">
        <v>61</v>
      </c>
      <c r="E18" s="17" t="s">
        <v>45</v>
      </c>
      <c r="F18" s="18"/>
      <c r="G18" s="17"/>
      <c r="H18" s="19" t="n">
        <f aca="false">IF(OR(E18="Fait",E18="Non applicable",D18=""),"",IF(AND(B18="Renforcé",Synthese!$B$6="Essentiel"),"",ROW()))</f>
        <v>18</v>
      </c>
    </row>
    <row r="19" customFormat="false" ht="15" hidden="false" customHeight="false" outlineLevel="0" collapsed="false">
      <c r="A19" s="16" t="n">
        <v>18</v>
      </c>
      <c r="B19" s="16" t="s">
        <v>14</v>
      </c>
      <c r="C19" s="16" t="s">
        <v>22</v>
      </c>
      <c r="D19" s="16" t="s">
        <v>62</v>
      </c>
      <c r="E19" s="17" t="s">
        <v>45</v>
      </c>
      <c r="F19" s="18"/>
      <c r="G19" s="17"/>
      <c r="H19" s="19" t="n">
        <f aca="false">IF(OR(E19="Fait",E19="Non applicable",D19=""),"",IF(AND(B19="Renforcé",Synthese!$B$6="Essentiel"),"",ROW()))</f>
        <v>19</v>
      </c>
    </row>
    <row r="20" customFormat="false" ht="15" hidden="false" customHeight="false" outlineLevel="0" collapsed="false">
      <c r="A20" s="16" t="n">
        <v>19</v>
      </c>
      <c r="B20" s="16" t="s">
        <v>14</v>
      </c>
      <c r="C20" s="16" t="s">
        <v>22</v>
      </c>
      <c r="D20" s="16" t="s">
        <v>63</v>
      </c>
      <c r="E20" s="17" t="s">
        <v>45</v>
      </c>
      <c r="F20" s="18"/>
      <c r="G20" s="17"/>
      <c r="H20" s="19" t="n">
        <f aca="false">IF(OR(E20="Fait",E20="Non applicable",D20=""),"",IF(AND(B20="Renforcé",Synthese!$B$6="Essentiel"),"",ROW()))</f>
        <v>20</v>
      </c>
    </row>
    <row r="21" customFormat="false" ht="15" hidden="false" customHeight="false" outlineLevel="0" collapsed="false">
      <c r="A21" s="16" t="n">
        <v>20</v>
      </c>
      <c r="B21" s="16" t="s">
        <v>14</v>
      </c>
      <c r="C21" s="16" t="s">
        <v>22</v>
      </c>
      <c r="D21" s="16" t="s">
        <v>64</v>
      </c>
      <c r="E21" s="17" t="s">
        <v>45</v>
      </c>
      <c r="F21" s="18"/>
      <c r="G21" s="17"/>
      <c r="H21" s="19" t="n">
        <f aca="false">IF(OR(E21="Fait",E21="Non applicable",D21=""),"",IF(AND(B21="Renforcé",Synthese!$B$6="Essentiel"),"",ROW()))</f>
        <v>21</v>
      </c>
    </row>
    <row r="22" customFormat="false" ht="15" hidden="false" customHeight="false" outlineLevel="0" collapsed="false">
      <c r="A22" s="16" t="n">
        <v>21</v>
      </c>
      <c r="B22" s="16" t="s">
        <v>14</v>
      </c>
      <c r="C22" s="16" t="s">
        <v>23</v>
      </c>
      <c r="D22" s="16" t="s">
        <v>65</v>
      </c>
      <c r="E22" s="17" t="s">
        <v>45</v>
      </c>
      <c r="F22" s="18"/>
      <c r="G22" s="17"/>
      <c r="H22" s="19" t="n">
        <f aca="false">IF(OR(E22="Fait",E22="Non applicable",D22=""),"",IF(AND(B22="Renforcé",Synthese!$B$6="Essentiel"),"",ROW()))</f>
        <v>22</v>
      </c>
    </row>
    <row r="23" customFormat="false" ht="15" hidden="false" customHeight="false" outlineLevel="0" collapsed="false">
      <c r="A23" s="16" t="n">
        <v>22</v>
      </c>
      <c r="B23" s="16" t="s">
        <v>14</v>
      </c>
      <c r="C23" s="16" t="s">
        <v>23</v>
      </c>
      <c r="D23" s="16" t="s">
        <v>66</v>
      </c>
      <c r="E23" s="17" t="s">
        <v>45</v>
      </c>
      <c r="F23" s="18"/>
      <c r="G23" s="17"/>
      <c r="H23" s="19" t="n">
        <f aca="false">IF(OR(E23="Fait",E23="Non applicable",D23=""),"",IF(AND(B23="Renforcé",Synthese!$B$6="Essentiel"),"",ROW()))</f>
        <v>23</v>
      </c>
    </row>
    <row r="24" customFormat="false" ht="15" hidden="false" customHeight="false" outlineLevel="0" collapsed="false">
      <c r="A24" s="16" t="n">
        <v>23</v>
      </c>
      <c r="B24" s="16" t="s">
        <v>14</v>
      </c>
      <c r="C24" s="16" t="s">
        <v>23</v>
      </c>
      <c r="D24" s="16" t="s">
        <v>67</v>
      </c>
      <c r="E24" s="17" t="s">
        <v>45</v>
      </c>
      <c r="F24" s="18"/>
      <c r="G24" s="17"/>
      <c r="H24" s="19" t="n">
        <f aca="false">IF(OR(E24="Fait",E24="Non applicable",D24=""),"",IF(AND(B24="Renforcé",Synthese!$B$6="Essentiel"),"",ROW()))</f>
        <v>24</v>
      </c>
    </row>
    <row r="25" customFormat="false" ht="15" hidden="false" customHeight="false" outlineLevel="0" collapsed="false">
      <c r="A25" s="16" t="n">
        <v>24</v>
      </c>
      <c r="B25" s="16" t="s">
        <v>14</v>
      </c>
      <c r="C25" s="16" t="s">
        <v>23</v>
      </c>
      <c r="D25" s="16" t="s">
        <v>68</v>
      </c>
      <c r="E25" s="17" t="s">
        <v>45</v>
      </c>
      <c r="F25" s="18"/>
      <c r="G25" s="17"/>
      <c r="H25" s="19" t="n">
        <f aca="false">IF(OR(E25="Fait",E25="Non applicable",D25=""),"",IF(AND(B25="Renforcé",Synthese!$B$6="Essentiel"),"",ROW()))</f>
        <v>25</v>
      </c>
    </row>
    <row r="26" customFormat="false" ht="15" hidden="false" customHeight="false" outlineLevel="0" collapsed="false">
      <c r="A26" s="16" t="n">
        <v>25</v>
      </c>
      <c r="B26" s="16" t="s">
        <v>14</v>
      </c>
      <c r="C26" s="16" t="s">
        <v>23</v>
      </c>
      <c r="D26" s="16" t="s">
        <v>69</v>
      </c>
      <c r="E26" s="17" t="s">
        <v>45</v>
      </c>
      <c r="F26" s="18"/>
      <c r="G26" s="17"/>
      <c r="H26" s="19" t="n">
        <f aca="false">IF(OR(E26="Fait",E26="Non applicable",D26=""),"",IF(AND(B26="Renforcé",Synthese!$B$6="Essentiel"),"",ROW()))</f>
        <v>26</v>
      </c>
    </row>
    <row r="27" customFormat="false" ht="23.85" hidden="false" customHeight="false" outlineLevel="0" collapsed="false">
      <c r="A27" s="16" t="n">
        <v>26</v>
      </c>
      <c r="B27" s="16" t="s">
        <v>14</v>
      </c>
      <c r="C27" s="16" t="s">
        <v>24</v>
      </c>
      <c r="D27" s="16" t="s">
        <v>70</v>
      </c>
      <c r="E27" s="17" t="s">
        <v>45</v>
      </c>
      <c r="F27" s="18"/>
      <c r="G27" s="17"/>
      <c r="H27" s="19" t="n">
        <f aca="false">IF(OR(E27="Fait",E27="Non applicable",D27=""),"",IF(AND(B27="Renforcé",Synthese!$B$6="Essentiel"),"",ROW()))</f>
        <v>27</v>
      </c>
    </row>
    <row r="28" customFormat="false" ht="15" hidden="false" customHeight="false" outlineLevel="0" collapsed="false">
      <c r="A28" s="16" t="n">
        <v>27</v>
      </c>
      <c r="B28" s="16" t="s">
        <v>14</v>
      </c>
      <c r="C28" s="16" t="s">
        <v>24</v>
      </c>
      <c r="D28" s="16" t="s">
        <v>71</v>
      </c>
      <c r="E28" s="17" t="s">
        <v>45</v>
      </c>
      <c r="F28" s="18"/>
      <c r="G28" s="17"/>
      <c r="H28" s="19" t="n">
        <f aca="false">IF(OR(E28="Fait",E28="Non applicable",D28=""),"",IF(AND(B28="Renforcé",Synthese!$B$6="Essentiel"),"",ROW()))</f>
        <v>28</v>
      </c>
    </row>
    <row r="29" customFormat="false" ht="15" hidden="false" customHeight="false" outlineLevel="0" collapsed="false">
      <c r="A29" s="16" t="n">
        <v>28</v>
      </c>
      <c r="B29" s="16" t="s">
        <v>14</v>
      </c>
      <c r="C29" s="16" t="s">
        <v>24</v>
      </c>
      <c r="D29" s="16" t="s">
        <v>72</v>
      </c>
      <c r="E29" s="17" t="s">
        <v>45</v>
      </c>
      <c r="F29" s="18"/>
      <c r="G29" s="17"/>
      <c r="H29" s="19" t="n">
        <f aca="false">IF(OR(E29="Fait",E29="Non applicable",D29=""),"",IF(AND(B29="Renforcé",Synthese!$B$6="Essentiel"),"",ROW()))</f>
        <v>29</v>
      </c>
    </row>
    <row r="30" customFormat="false" ht="15" hidden="false" customHeight="false" outlineLevel="0" collapsed="false">
      <c r="A30" s="16" t="n">
        <v>29</v>
      </c>
      <c r="B30" s="16" t="s">
        <v>14</v>
      </c>
      <c r="C30" s="16" t="s">
        <v>24</v>
      </c>
      <c r="D30" s="16" t="s">
        <v>73</v>
      </c>
      <c r="E30" s="17" t="s">
        <v>45</v>
      </c>
      <c r="F30" s="18"/>
      <c r="G30" s="17"/>
      <c r="H30" s="19" t="n">
        <f aca="false">IF(OR(E30="Fait",E30="Non applicable",D30=""),"",IF(AND(B30="Renforcé",Synthese!$B$6="Essentiel"),"",ROW()))</f>
        <v>30</v>
      </c>
    </row>
    <row r="31" customFormat="false" ht="15" hidden="false" customHeight="false" outlineLevel="0" collapsed="false">
      <c r="A31" s="16" t="n">
        <v>30</v>
      </c>
      <c r="B31" s="16" t="s">
        <v>14</v>
      </c>
      <c r="C31" s="16" t="s">
        <v>24</v>
      </c>
      <c r="D31" s="16" t="s">
        <v>74</v>
      </c>
      <c r="E31" s="17" t="s">
        <v>45</v>
      </c>
      <c r="F31" s="18"/>
      <c r="G31" s="17"/>
      <c r="H31" s="19" t="n">
        <f aca="false">IF(OR(E31="Fait",E31="Non applicable",D31=""),"",IF(AND(B31="Renforcé",Synthese!$B$6="Essentiel"),"",ROW()))</f>
        <v>31</v>
      </c>
    </row>
    <row r="32" customFormat="false" ht="15" hidden="false" customHeight="false" outlineLevel="0" collapsed="false">
      <c r="A32" s="16" t="n">
        <v>31</v>
      </c>
      <c r="B32" s="16" t="s">
        <v>14</v>
      </c>
      <c r="C32" s="16" t="s">
        <v>24</v>
      </c>
      <c r="D32" s="16" t="s">
        <v>75</v>
      </c>
      <c r="E32" s="17" t="s">
        <v>45</v>
      </c>
      <c r="F32" s="18"/>
      <c r="G32" s="17"/>
      <c r="H32" s="19" t="n">
        <f aca="false">IF(OR(E32="Fait",E32="Non applicable",D32=""),"",IF(AND(B32="Renforcé",Synthese!$B$6="Essentiel"),"",ROW()))</f>
        <v>32</v>
      </c>
    </row>
    <row r="33" customFormat="false" ht="23.85" hidden="false" customHeight="false" outlineLevel="0" collapsed="false">
      <c r="A33" s="16" t="n">
        <v>32</v>
      </c>
      <c r="B33" s="16" t="s">
        <v>14</v>
      </c>
      <c r="C33" s="16" t="s">
        <v>25</v>
      </c>
      <c r="D33" s="16" t="s">
        <v>76</v>
      </c>
      <c r="E33" s="17" t="s">
        <v>45</v>
      </c>
      <c r="F33" s="18"/>
      <c r="G33" s="17"/>
      <c r="H33" s="19" t="n">
        <f aca="false">IF(OR(E33="Fait",E33="Non applicable",D33=""),"",IF(AND(B33="Renforcé",Synthese!$B$6="Essentiel"),"",ROW()))</f>
        <v>33</v>
      </c>
    </row>
    <row r="34" customFormat="false" ht="15" hidden="false" customHeight="false" outlineLevel="0" collapsed="false">
      <c r="A34" s="16" t="n">
        <v>33</v>
      </c>
      <c r="B34" s="16" t="s">
        <v>14</v>
      </c>
      <c r="C34" s="16" t="s">
        <v>25</v>
      </c>
      <c r="D34" s="16" t="s">
        <v>77</v>
      </c>
      <c r="E34" s="17" t="s">
        <v>45</v>
      </c>
      <c r="F34" s="18"/>
      <c r="G34" s="17"/>
      <c r="H34" s="19" t="n">
        <f aca="false">IF(OR(E34="Fait",E34="Non applicable",D34=""),"",IF(AND(B34="Renforcé",Synthese!$B$6="Essentiel"),"",ROW()))</f>
        <v>34</v>
      </c>
    </row>
    <row r="35" customFormat="false" ht="15" hidden="false" customHeight="false" outlineLevel="0" collapsed="false">
      <c r="A35" s="16" t="n">
        <v>34</v>
      </c>
      <c r="B35" s="16" t="s">
        <v>14</v>
      </c>
      <c r="C35" s="16" t="s">
        <v>25</v>
      </c>
      <c r="D35" s="16" t="s">
        <v>78</v>
      </c>
      <c r="E35" s="17" t="s">
        <v>45</v>
      </c>
      <c r="F35" s="18"/>
      <c r="G35" s="17"/>
      <c r="H35" s="19" t="n">
        <f aca="false">IF(OR(E35="Fait",E35="Non applicable",D35=""),"",IF(AND(B35="Renforcé",Synthese!$B$6="Essentiel"),"",ROW()))</f>
        <v>35</v>
      </c>
    </row>
    <row r="36" customFormat="false" ht="15" hidden="false" customHeight="false" outlineLevel="0" collapsed="false">
      <c r="A36" s="16" t="n">
        <v>35</v>
      </c>
      <c r="B36" s="16" t="s">
        <v>14</v>
      </c>
      <c r="C36" s="16" t="s">
        <v>25</v>
      </c>
      <c r="D36" s="16" t="s">
        <v>79</v>
      </c>
      <c r="E36" s="17" t="s">
        <v>45</v>
      </c>
      <c r="F36" s="18"/>
      <c r="G36" s="17"/>
      <c r="H36" s="19" t="n">
        <f aca="false">IF(OR(E36="Fait",E36="Non applicable",D36=""),"",IF(AND(B36="Renforcé",Synthese!$B$6="Essentiel"),"",ROW()))</f>
        <v>36</v>
      </c>
    </row>
    <row r="37" customFormat="false" ht="15" hidden="false" customHeight="false" outlineLevel="0" collapsed="false">
      <c r="A37" s="16" t="n">
        <v>36</v>
      </c>
      <c r="B37" s="16" t="s">
        <v>14</v>
      </c>
      <c r="C37" s="16" t="s">
        <v>25</v>
      </c>
      <c r="D37" s="16" t="s">
        <v>80</v>
      </c>
      <c r="E37" s="17" t="s">
        <v>45</v>
      </c>
      <c r="F37" s="18"/>
      <c r="G37" s="17"/>
      <c r="H37" s="19" t="n">
        <f aca="false">IF(OR(E37="Fait",E37="Non applicable",D37=""),"",IF(AND(B37="Renforcé",Synthese!$B$6="Essentiel"),"",ROW()))</f>
        <v>37</v>
      </c>
    </row>
    <row r="38" customFormat="false" ht="15" hidden="false" customHeight="false" outlineLevel="0" collapsed="false">
      <c r="A38" s="16" t="n">
        <v>37</v>
      </c>
      <c r="B38" s="16" t="s">
        <v>14</v>
      </c>
      <c r="C38" s="16" t="s">
        <v>26</v>
      </c>
      <c r="D38" s="16" t="s">
        <v>81</v>
      </c>
      <c r="E38" s="17" t="s">
        <v>45</v>
      </c>
      <c r="F38" s="18"/>
      <c r="G38" s="17"/>
      <c r="H38" s="19" t="n">
        <f aca="false">IF(OR(E38="Fait",E38="Non applicable",D38=""),"",IF(AND(B38="Renforcé",Synthese!$B$6="Essentiel"),"",ROW()))</f>
        <v>38</v>
      </c>
    </row>
    <row r="39" customFormat="false" ht="23.85" hidden="false" customHeight="false" outlineLevel="0" collapsed="false">
      <c r="A39" s="16" t="n">
        <v>38</v>
      </c>
      <c r="B39" s="16" t="s">
        <v>14</v>
      </c>
      <c r="C39" s="16" t="s">
        <v>26</v>
      </c>
      <c r="D39" s="16" t="s">
        <v>82</v>
      </c>
      <c r="E39" s="17" t="s">
        <v>45</v>
      </c>
      <c r="F39" s="18"/>
      <c r="G39" s="17"/>
      <c r="H39" s="19" t="n">
        <f aca="false">IF(OR(E39="Fait",E39="Non applicable",D39=""),"",IF(AND(B39="Renforcé",Synthese!$B$6="Essentiel"),"",ROW()))</f>
        <v>39</v>
      </c>
    </row>
    <row r="40" customFormat="false" ht="15" hidden="false" customHeight="false" outlineLevel="0" collapsed="false">
      <c r="A40" s="16" t="n">
        <v>39</v>
      </c>
      <c r="B40" s="16" t="s">
        <v>14</v>
      </c>
      <c r="C40" s="16" t="s">
        <v>26</v>
      </c>
      <c r="D40" s="16" t="s">
        <v>83</v>
      </c>
      <c r="E40" s="17" t="s">
        <v>45</v>
      </c>
      <c r="F40" s="18"/>
      <c r="G40" s="17"/>
      <c r="H40" s="19" t="n">
        <f aca="false">IF(OR(E40="Fait",E40="Non applicable",D40=""),"",IF(AND(B40="Renforcé",Synthese!$B$6="Essentiel"),"",ROW()))</f>
        <v>40</v>
      </c>
    </row>
    <row r="41" customFormat="false" ht="23.85" hidden="false" customHeight="false" outlineLevel="0" collapsed="false">
      <c r="A41" s="16" t="n">
        <v>40</v>
      </c>
      <c r="B41" s="16" t="s">
        <v>14</v>
      </c>
      <c r="C41" s="16" t="s">
        <v>26</v>
      </c>
      <c r="D41" s="16" t="s">
        <v>84</v>
      </c>
      <c r="E41" s="17" t="s">
        <v>45</v>
      </c>
      <c r="F41" s="18"/>
      <c r="G41" s="17"/>
      <c r="H41" s="19" t="n">
        <f aca="false">IF(OR(E41="Fait",E41="Non applicable",D41=""),"",IF(AND(B41="Renforcé",Synthese!$B$6="Essentiel"),"",ROW()))</f>
        <v>41</v>
      </c>
    </row>
    <row r="42" customFormat="false" ht="23.85" hidden="false" customHeight="false" outlineLevel="0" collapsed="false">
      <c r="A42" s="16" t="n">
        <v>41</v>
      </c>
      <c r="B42" s="16" t="s">
        <v>14</v>
      </c>
      <c r="C42" s="16" t="s">
        <v>26</v>
      </c>
      <c r="D42" s="16" t="s">
        <v>85</v>
      </c>
      <c r="E42" s="17" t="s">
        <v>45</v>
      </c>
      <c r="F42" s="18"/>
      <c r="G42" s="17"/>
      <c r="H42" s="19" t="n">
        <f aca="false">IF(OR(E42="Fait",E42="Non applicable",D42=""),"",IF(AND(B42="Renforcé",Synthese!$B$6="Essentiel"),"",ROW()))</f>
        <v>42</v>
      </c>
    </row>
    <row r="43" customFormat="false" ht="23.85" hidden="false" customHeight="false" outlineLevel="0" collapsed="false">
      <c r="A43" s="16" t="n">
        <v>42</v>
      </c>
      <c r="B43" s="16" t="s">
        <v>15</v>
      </c>
      <c r="C43" s="16" t="s">
        <v>27</v>
      </c>
      <c r="D43" s="16" t="s">
        <v>86</v>
      </c>
      <c r="E43" s="17" t="s">
        <v>45</v>
      </c>
      <c r="F43" s="18"/>
      <c r="G43" s="17"/>
      <c r="H43" s="19" t="n">
        <f aca="false">IF(OR(E43="Fait",E43="Non applicable",D43=""),"",IF(AND(B43="Renforcé",Synthese!$B$6="Essentiel"),"",ROW()))</f>
        <v>43</v>
      </c>
    </row>
    <row r="44" customFormat="false" ht="15" hidden="false" customHeight="false" outlineLevel="0" collapsed="false">
      <c r="A44" s="16" t="n">
        <v>43</v>
      </c>
      <c r="B44" s="16" t="s">
        <v>15</v>
      </c>
      <c r="C44" s="16" t="s">
        <v>27</v>
      </c>
      <c r="D44" s="16" t="s">
        <v>87</v>
      </c>
      <c r="E44" s="17" t="s">
        <v>45</v>
      </c>
      <c r="F44" s="18"/>
      <c r="G44" s="17"/>
      <c r="H44" s="19" t="n">
        <f aca="false">IF(OR(E44="Fait",E44="Non applicable",D44=""),"",IF(AND(B44="Renforcé",Synthese!$B$6="Essentiel"),"",ROW()))</f>
        <v>44</v>
      </c>
    </row>
    <row r="45" customFormat="false" ht="15" hidden="false" customHeight="false" outlineLevel="0" collapsed="false">
      <c r="A45" s="16" t="n">
        <v>44</v>
      </c>
      <c r="B45" s="16" t="s">
        <v>15</v>
      </c>
      <c r="C45" s="16" t="s">
        <v>27</v>
      </c>
      <c r="D45" s="16" t="s">
        <v>88</v>
      </c>
      <c r="E45" s="17" t="s">
        <v>45</v>
      </c>
      <c r="F45" s="18"/>
      <c r="G45" s="17"/>
      <c r="H45" s="19" t="n">
        <f aca="false">IF(OR(E45="Fait",E45="Non applicable",D45=""),"",IF(AND(B45="Renforcé",Synthese!$B$6="Essentiel"),"",ROW()))</f>
        <v>45</v>
      </c>
    </row>
    <row r="46" customFormat="false" ht="23.85" hidden="false" customHeight="false" outlineLevel="0" collapsed="false">
      <c r="A46" s="16" t="n">
        <v>45</v>
      </c>
      <c r="B46" s="16" t="s">
        <v>15</v>
      </c>
      <c r="C46" s="16" t="s">
        <v>27</v>
      </c>
      <c r="D46" s="16" t="s">
        <v>89</v>
      </c>
      <c r="E46" s="17" t="s">
        <v>45</v>
      </c>
      <c r="F46" s="18"/>
      <c r="G46" s="17"/>
      <c r="H46" s="19" t="n">
        <f aca="false">IF(OR(E46="Fait",E46="Non applicable",D46=""),"",IF(AND(B46="Renforcé",Synthese!$B$6="Essentiel"),"",ROW()))</f>
        <v>46</v>
      </c>
    </row>
    <row r="47" customFormat="false" ht="15" hidden="false" customHeight="false" outlineLevel="0" collapsed="false">
      <c r="A47" s="16" t="n">
        <v>46</v>
      </c>
      <c r="B47" s="16" t="s">
        <v>15</v>
      </c>
      <c r="C47" s="16" t="s">
        <v>27</v>
      </c>
      <c r="D47" s="16" t="s">
        <v>90</v>
      </c>
      <c r="E47" s="17" t="s">
        <v>45</v>
      </c>
      <c r="F47" s="18"/>
      <c r="G47" s="17"/>
      <c r="H47" s="19" t="n">
        <f aca="false">IF(OR(E47="Fait",E47="Non applicable",D47=""),"",IF(AND(B47="Renforcé",Synthese!$B$6="Essentiel"),"",ROW()))</f>
        <v>47</v>
      </c>
    </row>
    <row r="48" customFormat="false" ht="15" hidden="false" customHeight="false" outlineLevel="0" collapsed="false">
      <c r="A48" s="16" t="n">
        <v>47</v>
      </c>
      <c r="B48" s="16" t="s">
        <v>15</v>
      </c>
      <c r="C48" s="16" t="s">
        <v>27</v>
      </c>
      <c r="D48" s="16" t="s">
        <v>91</v>
      </c>
      <c r="E48" s="17" t="s">
        <v>45</v>
      </c>
      <c r="F48" s="18"/>
      <c r="G48" s="17"/>
      <c r="H48" s="19" t="n">
        <f aca="false">IF(OR(E48="Fait",E48="Non applicable",D48=""),"",IF(AND(B48="Renforcé",Synthese!$B$6="Essentiel"),"",ROW()))</f>
        <v>48</v>
      </c>
    </row>
    <row r="49" customFormat="false" ht="15" hidden="false" customHeight="false" outlineLevel="0" collapsed="false">
      <c r="A49" s="16" t="n">
        <v>48</v>
      </c>
      <c r="B49" s="16" t="s">
        <v>15</v>
      </c>
      <c r="C49" s="16" t="s">
        <v>27</v>
      </c>
      <c r="D49" s="16" t="s">
        <v>92</v>
      </c>
      <c r="E49" s="17" t="s">
        <v>45</v>
      </c>
      <c r="F49" s="18"/>
      <c r="G49" s="17"/>
      <c r="H49" s="19" t="n">
        <f aca="false">IF(OR(E49="Fait",E49="Non applicable",D49=""),"",IF(AND(B49="Renforcé",Synthese!$B$6="Essentiel"),"",ROW()))</f>
        <v>49</v>
      </c>
    </row>
    <row r="50" customFormat="false" ht="23.85" hidden="false" customHeight="false" outlineLevel="0" collapsed="false">
      <c r="A50" s="16" t="n">
        <v>49</v>
      </c>
      <c r="B50" s="16" t="s">
        <v>15</v>
      </c>
      <c r="C50" s="16" t="s">
        <v>28</v>
      </c>
      <c r="D50" s="16" t="s">
        <v>93</v>
      </c>
      <c r="E50" s="17" t="s">
        <v>45</v>
      </c>
      <c r="F50" s="18"/>
      <c r="G50" s="17"/>
      <c r="H50" s="19" t="n">
        <f aca="false">IF(OR(E50="Fait",E50="Non applicable",D50=""),"",IF(AND(B50="Renforcé",Synthese!$B$6="Essentiel"),"",ROW()))</f>
        <v>50</v>
      </c>
    </row>
    <row r="51" customFormat="false" ht="23.85" hidden="false" customHeight="false" outlineLevel="0" collapsed="false">
      <c r="A51" s="16" t="n">
        <v>50</v>
      </c>
      <c r="B51" s="16" t="s">
        <v>15</v>
      </c>
      <c r="C51" s="16" t="s">
        <v>28</v>
      </c>
      <c r="D51" s="16" t="s">
        <v>94</v>
      </c>
      <c r="E51" s="17" t="s">
        <v>45</v>
      </c>
      <c r="F51" s="18"/>
      <c r="G51" s="17"/>
      <c r="H51" s="19" t="n">
        <f aca="false">IF(OR(E51="Fait",E51="Non applicable",D51=""),"",IF(AND(B51="Renforcé",Synthese!$B$6="Essentiel"),"",ROW()))</f>
        <v>51</v>
      </c>
    </row>
    <row r="52" customFormat="false" ht="15" hidden="false" customHeight="false" outlineLevel="0" collapsed="false">
      <c r="A52" s="16" t="n">
        <v>51</v>
      </c>
      <c r="B52" s="16" t="s">
        <v>15</v>
      </c>
      <c r="C52" s="16" t="s">
        <v>28</v>
      </c>
      <c r="D52" s="16" t="s">
        <v>95</v>
      </c>
      <c r="E52" s="17" t="s">
        <v>45</v>
      </c>
      <c r="F52" s="18"/>
      <c r="G52" s="17"/>
      <c r="H52" s="19" t="n">
        <f aca="false">IF(OR(E52="Fait",E52="Non applicable",D52=""),"",IF(AND(B52="Renforcé",Synthese!$B$6="Essentiel"),"",ROW()))</f>
        <v>52</v>
      </c>
    </row>
    <row r="53" customFormat="false" ht="23.85" hidden="false" customHeight="false" outlineLevel="0" collapsed="false">
      <c r="A53" s="16" t="n">
        <v>52</v>
      </c>
      <c r="B53" s="16" t="s">
        <v>15</v>
      </c>
      <c r="C53" s="16" t="s">
        <v>29</v>
      </c>
      <c r="D53" s="16" t="s">
        <v>96</v>
      </c>
      <c r="E53" s="17" t="s">
        <v>45</v>
      </c>
      <c r="F53" s="18"/>
      <c r="G53" s="17"/>
      <c r="H53" s="19" t="n">
        <f aca="false">IF(OR(E53="Fait",E53="Non applicable",D53=""),"",IF(AND(B53="Renforcé",Synthese!$B$6="Essentiel"),"",ROW()))</f>
        <v>53</v>
      </c>
    </row>
    <row r="54" customFormat="false" ht="23.85" hidden="false" customHeight="false" outlineLevel="0" collapsed="false">
      <c r="A54" s="16" t="n">
        <v>53</v>
      </c>
      <c r="B54" s="16" t="s">
        <v>15</v>
      </c>
      <c r="C54" s="16" t="s">
        <v>29</v>
      </c>
      <c r="D54" s="16" t="s">
        <v>97</v>
      </c>
      <c r="E54" s="17" t="s">
        <v>45</v>
      </c>
      <c r="F54" s="18"/>
      <c r="G54" s="17"/>
      <c r="H54" s="19" t="n">
        <f aca="false">IF(OR(E54="Fait",E54="Non applicable",D54=""),"",IF(AND(B54="Renforcé",Synthese!$B$6="Essentiel"),"",ROW()))</f>
        <v>54</v>
      </c>
    </row>
    <row r="55" customFormat="false" ht="15" hidden="false" customHeight="false" outlineLevel="0" collapsed="false">
      <c r="A55" s="16" t="n">
        <v>54</v>
      </c>
      <c r="B55" s="16" t="s">
        <v>15</v>
      </c>
      <c r="C55" s="16" t="s">
        <v>29</v>
      </c>
      <c r="D55" s="16" t="s">
        <v>98</v>
      </c>
      <c r="E55" s="17" t="s">
        <v>45</v>
      </c>
      <c r="F55" s="18"/>
      <c r="G55" s="17"/>
      <c r="H55" s="19" t="n">
        <f aca="false">IF(OR(E55="Fait",E55="Non applicable",D55=""),"",IF(AND(B55="Renforcé",Synthese!$B$6="Essentiel"),"",ROW()))</f>
        <v>55</v>
      </c>
    </row>
    <row r="56" customFormat="false" ht="23.85" hidden="false" customHeight="false" outlineLevel="0" collapsed="false">
      <c r="A56" s="16" t="n">
        <v>55</v>
      </c>
      <c r="B56" s="16" t="s">
        <v>15</v>
      </c>
      <c r="C56" s="16" t="s">
        <v>30</v>
      </c>
      <c r="D56" s="16" t="s">
        <v>99</v>
      </c>
      <c r="E56" s="17" t="s">
        <v>45</v>
      </c>
      <c r="F56" s="18"/>
      <c r="G56" s="17"/>
      <c r="H56" s="19" t="n">
        <f aca="false">IF(OR(E56="Fait",E56="Non applicable",D56=""),"",IF(AND(B56="Renforcé",Synthese!$B$6="Essentiel"),"",ROW()))</f>
        <v>56</v>
      </c>
    </row>
    <row r="57" customFormat="false" ht="23.85" hidden="false" customHeight="false" outlineLevel="0" collapsed="false">
      <c r="A57" s="16" t="n">
        <v>56</v>
      </c>
      <c r="B57" s="16" t="s">
        <v>15</v>
      </c>
      <c r="C57" s="16" t="s">
        <v>31</v>
      </c>
      <c r="D57" s="16" t="s">
        <v>100</v>
      </c>
      <c r="E57" s="17" t="s">
        <v>45</v>
      </c>
      <c r="F57" s="18"/>
      <c r="G57" s="17"/>
      <c r="H57" s="19" t="n">
        <f aca="false">IF(OR(E57="Fait",E57="Non applicable",D57=""),"",IF(AND(B57="Renforcé",Synthese!$B$6="Essentiel"),"",ROW()))</f>
        <v>57</v>
      </c>
    </row>
    <row r="58" customFormat="false" ht="15" hidden="false" customHeight="false" outlineLevel="0" collapsed="false">
      <c r="A58" s="16" t="n">
        <v>57</v>
      </c>
      <c r="B58" s="16" t="s">
        <v>15</v>
      </c>
      <c r="C58" s="16" t="s">
        <v>31</v>
      </c>
      <c r="D58" s="16" t="s">
        <v>101</v>
      </c>
      <c r="E58" s="17" t="s">
        <v>45</v>
      </c>
      <c r="F58" s="18"/>
      <c r="G58" s="17"/>
      <c r="H58" s="19" t="n">
        <f aca="false">IF(OR(E58="Fait",E58="Non applicable",D58=""),"",IF(AND(B58="Renforcé",Synthese!$B$6="Essentiel"),"",ROW()))</f>
        <v>58</v>
      </c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8"/>
      <c r="G59" s="17"/>
      <c r="H59" s="0" t="str">
        <f aca="false">IF(OR(E59="Fait",E59="Non applicable",D59=""),"",IF(AND(B59="Renforcé",Synthese!$B$6="Essentiel"),"",ROW()))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8"/>
      <c r="G60" s="17"/>
      <c r="H60" s="0" t="str">
        <f aca="false">IF(OR(E60="Fait",E60="Non applicable",D60=""),"",IF(AND(B60="Renforcé",Synthese!$B$6="Essentiel"),"",ROW()))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8"/>
      <c r="G61" s="17"/>
      <c r="H61" s="0" t="str">
        <f aca="false">IF(OR(E61="Fait",E61="Non applicable",D61=""),"",IF(AND(B61="Renforcé",Synthese!$B$6="Essentiel"),"",ROW()))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8"/>
      <c r="G62" s="17"/>
      <c r="H62" s="0" t="str">
        <f aca="false">IF(OR(E62="Fait",E62="Non applicable",D62=""),"",IF(AND(B62="Renforcé",Synthese!$B$6="Essentiel"),"",ROW()))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8"/>
      <c r="G63" s="17"/>
      <c r="H63" s="0" t="str">
        <f aca="false">IF(OR(E63="Fait",E63="Non applicable",D63=""),"",IF(AND(B63="Renforcé",Synthese!$B$6="Essentiel"),"",ROW()))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8"/>
      <c r="G64" s="17"/>
      <c r="H64" s="0" t="str">
        <f aca="false">IF(OR(E64="Fait",E64="Non applicable",D64=""),"",IF(AND(B64="Renforcé",Synthese!$B$6="Essentiel"),"",ROW()))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8"/>
      <c r="G65" s="17"/>
      <c r="H65" s="0" t="str">
        <f aca="false">IF(OR(E65="Fait",E65="Non applicable",D65=""),"",IF(AND(B65="Renforcé",Synthese!$B$6="Essentiel"),"",ROW()))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8"/>
      <c r="G66" s="17"/>
      <c r="H66" s="0" t="str">
        <f aca="false">IF(OR(E66="Fait",E66="Non applicable",D66=""),"",IF(AND(B66="Renforcé",Synthese!$B$6="Essentiel"),"",ROW()))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8"/>
      <c r="G67" s="17"/>
      <c r="H67" s="0" t="str">
        <f aca="false">IF(OR(E67="Fait",E67="Non applicable",D67=""),"",IF(AND(B67="Renforcé",Synthese!$B$6="Essentiel"),"",ROW()))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8"/>
      <c r="G68" s="17"/>
      <c r="H68" s="0" t="str">
        <f aca="false">IF(OR(E68="Fait",E68="Non applicable",D68=""),"",IF(AND(B68="Renforcé",Synthese!$B$6="Essentiel"),"",ROW()))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8"/>
      <c r="G69" s="17"/>
      <c r="H69" s="0" t="str">
        <f aca="false">IF(OR(E69="Fait",E69="Non applicable",D69=""),"",IF(AND(B69="Renforcé",Synthese!$B$6="Essentiel"),"",ROW()))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8"/>
      <c r="G70" s="17"/>
      <c r="H70" s="0" t="str">
        <f aca="false">IF(OR(E70="Fait",E70="Non applicable",D70=""),"",IF(AND(B70="Renforcé",Synthese!$B$6="Essentiel"),"",ROW()))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8"/>
      <c r="G71" s="17"/>
      <c r="H71" s="0" t="str">
        <f aca="false">IF(OR(E71="Fait",E71="Non applicable",D71=""),"",IF(AND(B71="Renforcé",Synthese!$B$6="Essentiel"),"",ROW()))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8"/>
      <c r="G72" s="17"/>
      <c r="H72" s="0" t="str">
        <f aca="false">IF(OR(E72="Fait",E72="Non applicable",D72=""),"",IF(AND(B72="Renforcé",Synthese!$B$6="Essentiel"),"",ROW()))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8"/>
      <c r="G73" s="17"/>
      <c r="H73" s="0" t="str">
        <f aca="false">IF(OR(E73="Fait",E73="Non applicable",D73=""),"",IF(AND(B73="Renforcé",Synthese!$B$6="Essentiel"),"",ROW()))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8"/>
      <c r="G74" s="17"/>
      <c r="H74" s="0" t="str">
        <f aca="false">IF(OR(E74="Fait",E74="Non applicable",D74=""),"",IF(AND(B74="Renforcé",Synthese!$B$6="Essentiel"),"",ROW()))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8"/>
      <c r="G75" s="17"/>
      <c r="H75" s="0" t="str">
        <f aca="false">IF(OR(E75="Fait",E75="Non applicable",D75=""),"",IF(AND(B75="Renforcé",Synthese!$B$6="Essentiel"),"",ROW()))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8"/>
      <c r="G76" s="17"/>
      <c r="H76" s="0" t="str">
        <f aca="false">IF(OR(E76="Fait",E76="Non applicable",D76=""),"",IF(AND(B76="Renforcé",Synthese!$B$6="Essentiel"),"",ROW()))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8"/>
      <c r="G77" s="17"/>
      <c r="H77" s="0" t="str">
        <f aca="false">IF(OR(E77="Fait",E77="Non applicable",D77=""),"",IF(AND(B77="Renforcé",Synthese!$B$6="Essentiel"),"",ROW()))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8"/>
      <c r="G78" s="17"/>
      <c r="H78" s="0" t="str">
        <f aca="false">IF(OR(E78="Fait",E78="Non applicable",D78=""),"",IF(AND(B78="Renforcé",Synthese!$B$6="Essentiel"),"",ROW()))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8"/>
      <c r="G79" s="17"/>
      <c r="H79" s="0" t="str">
        <f aca="false">IF(OR(E79="Fait",E79="Non applicable",D79=""),"",IF(AND(B79="Renforcé",Synthese!$B$6="Essentiel"),"",ROW()))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8"/>
      <c r="G80" s="17"/>
      <c r="H80" s="0" t="str">
        <f aca="false">IF(OR(E80="Fait",E80="Non applicable",D80=""),"",IF(AND(B80="Renforcé",Synthese!$B$6="Essentiel"),"",ROW()))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8"/>
      <c r="G81" s="17"/>
      <c r="H81" s="0" t="str">
        <f aca="false">IF(OR(E81="Fait",E81="Non applicable",D81=""),"",IF(AND(B81="Renforcé",Synthese!$B$6="Essentiel"),"",ROW()))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8"/>
      <c r="G82" s="17"/>
      <c r="H82" s="0" t="str">
        <f aca="false">IF(OR(E82="Fait",E82="Non applicable",D82=""),"",IF(AND(B82="Renforcé",Synthese!$B$6="Essentiel"),"",ROW()))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8"/>
      <c r="G83" s="17"/>
      <c r="H83" s="0" t="str">
        <f aca="false">IF(OR(E83="Fait",E83="Non applicable",D83=""),"",IF(AND(B83="Renforcé",Synthese!$B$6="Essentiel"),"",ROW()))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8"/>
      <c r="G84" s="17"/>
      <c r="H84" s="0" t="str">
        <f aca="false">IF(OR(E84="Fait",E84="Non applicable",D84=""),"",IF(AND(B84="Renforcé",Synthese!$B$6="Essentiel"),"",ROW()))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8"/>
      <c r="G85" s="17"/>
      <c r="H85" s="0" t="str">
        <f aca="false">IF(OR(E85="Fait",E85="Non applicable",D85=""),"",IF(AND(B85="Renforcé",Synthese!$B$6="Essentiel"),"",ROW()))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8"/>
      <c r="G86" s="17"/>
      <c r="H86" s="0" t="str">
        <f aca="false">IF(OR(E86="Fait",E86="Non applicable",D86=""),"",IF(AND(B86="Renforcé",Synthese!$B$6="Essentiel"),"",ROW()))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8"/>
      <c r="G87" s="17"/>
      <c r="H87" s="0" t="str">
        <f aca="false">IF(OR(E87="Fait",E87="Non applicable",D87=""),"",IF(AND(B87="Renforcé",Synthese!$B$6="Essentiel"),"",ROW()))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8"/>
      <c r="G88" s="17"/>
      <c r="H88" s="0" t="str">
        <f aca="false">IF(OR(E88="Fait",E88="Non applicable",D88=""),"",IF(AND(B88="Renforcé",Synthese!$B$6="Essentiel"),"",ROW()))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8"/>
      <c r="G89" s="17"/>
      <c r="H89" s="0" t="str">
        <f aca="false">IF(OR(E89="Fait",E89="Non applicable",D89=""),"",IF(AND(B89="Renforcé",Synthese!$B$6="Essentiel"),"",ROW()))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8"/>
      <c r="G90" s="17"/>
      <c r="H90" s="0" t="str">
        <f aca="false">IF(OR(E90="Fait",E90="Non applicable",D90=""),"",IF(AND(B90="Renforcé",Synthese!$B$6="Essentiel"),"",ROW()))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8"/>
      <c r="G91" s="17"/>
      <c r="H91" s="0" t="str">
        <f aca="false">IF(OR(E91="Fait",E91="Non applicable",D91=""),"",IF(AND(B91="Renforcé",Synthese!$B$6="Essentiel"),"",ROW()))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8"/>
      <c r="G92" s="17"/>
      <c r="H92" s="0" t="str">
        <f aca="false">IF(OR(E92="Fait",E92="Non applicable",D92=""),"",IF(AND(B92="Renforcé",Synthese!$B$6="Essentiel"),"",ROW()))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8"/>
      <c r="G93" s="17"/>
      <c r="H93" s="0" t="str">
        <f aca="false">IF(OR(E93="Fait",E93="Non applicable",D93=""),"",IF(AND(B93="Renforcé",Synthese!$B$6="Essentiel"),"",ROW()))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8"/>
      <c r="G94" s="17"/>
      <c r="H94" s="0" t="str">
        <f aca="false">IF(OR(E94="Fait",E94="Non applicable",D94=""),"",IF(AND(B94="Renforcé",Synthese!$B$6="Essentiel"),"",ROW()))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8"/>
      <c r="G95" s="17"/>
      <c r="H95" s="0" t="str">
        <f aca="false">IF(OR(E95="Fait",E95="Non applicable",D95=""),"",IF(AND(B95="Renforcé",Synthese!$B$6="Essentiel"),"",ROW()))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8"/>
      <c r="G96" s="17"/>
      <c r="H96" s="0" t="str">
        <f aca="false">IF(OR(E96="Fait",E96="Non applicable",D96=""),"",IF(AND(B96="Renforcé",Synthese!$B$6="Essentiel"),"",ROW()))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8"/>
      <c r="G97" s="17"/>
      <c r="H97" s="0" t="str">
        <f aca="false">IF(OR(E97="Fait",E97="Non applicable",D97=""),"",IF(AND(B97="Renforcé",Synthese!$B$6="Essentiel"),"",ROW()))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8"/>
      <c r="G98" s="17"/>
      <c r="H98" s="0" t="str">
        <f aca="false">IF(OR(E98="Fait",E98="Non applicable",D98=""),"",IF(AND(B98="Renforcé",Synthese!$B$6="Essentiel"),"",ROW()))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8"/>
      <c r="G99" s="17"/>
      <c r="H99" s="0" t="str">
        <f aca="false">IF(OR(E99="Fait",E99="Non applicable",D99=""),"",IF(AND(B99="Renforcé",Synthese!$B$6="Essentiel"),"",ROW()))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8"/>
      <c r="G100" s="17"/>
      <c r="H100" s="0" t="str">
        <f aca="false">IF(OR(E100="Fait",E100="Non applicable",D100=""),"",IF(AND(B100="Renforcé",Synthese!$B$6="Essentiel"),"",ROW()))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8"/>
      <c r="G101" s="17"/>
      <c r="H101" s="0" t="str">
        <f aca="false">IF(OR(E101="Fait",E101="Non applicable",D101=""),"",IF(AND(B101="Renforcé",Synthese!$B$6="Essentiel"),"",ROW()))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8"/>
      <c r="G102" s="17"/>
      <c r="H102" s="0" t="str">
        <f aca="false">IF(OR(E102="Fait",E102="Non applicable",D102=""),"",IF(AND(B102="Renforcé",Synthese!$B$6="Essentiel"),"",ROW()))</f>
        <v/>
      </c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8"/>
      <c r="G103" s="17"/>
      <c r="H103" s="0" t="str">
        <f aca="false">IF(OR(E103="Fait",E103="Non applicable",D103=""),"",IF(AND(B103="Renforcé",Synthese!$B$6="Essentiel"),"",ROW()))</f>
        <v/>
      </c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8"/>
      <c r="G104" s="17"/>
      <c r="H104" s="0" t="str">
        <f aca="false">IF(OR(E104="Fait",E104="Non applicable",D104=""),"",IF(AND(B104="Renforcé",Synthese!$B$6="Essentiel"),"",ROW()))</f>
        <v/>
      </c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8"/>
      <c r="G105" s="17"/>
      <c r="H105" s="0" t="str">
        <f aca="false">IF(OR(E105="Fait",E105="Non applicable",D105=""),"",IF(AND(B105="Renforcé",Synthese!$B$6="Essentiel"),"",ROW()))</f>
        <v/>
      </c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8"/>
      <c r="G106" s="17"/>
      <c r="H106" s="0" t="str">
        <f aca="false">IF(OR(E106="Fait",E106="Non applicable",D106=""),"",IF(AND(B106="Renforcé",Synthese!$B$6="Essentiel"),"",ROW()))</f>
        <v/>
      </c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8"/>
      <c r="G107" s="17"/>
      <c r="H107" s="0" t="str">
        <f aca="false">IF(OR(E107="Fait",E107="Non applicable",D107=""),"",IF(AND(B107="Renforcé",Synthese!$B$6="Essentiel"),"",ROW()))</f>
        <v/>
      </c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8"/>
      <c r="G108" s="17"/>
      <c r="H108" s="0" t="str">
        <f aca="false">IF(OR(E108="Fait",E108="Non applicable",D108=""),"",IF(AND(B108="Renforcé",Synthese!$B$6="Essentiel"),"",ROW()))</f>
        <v/>
      </c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8"/>
      <c r="G109" s="17"/>
      <c r="H109" s="0" t="str">
        <f aca="false">IF(OR(E109="Fait",E109="Non applicable",D109=""),"",IF(AND(B109="Renforcé",Synthese!$B$6="Essentiel"),"",ROW()))</f>
        <v/>
      </c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8"/>
      <c r="G110" s="17"/>
      <c r="H110" s="0" t="str">
        <f aca="false">IF(OR(E110="Fait",E110="Non applicable",D110=""),"",IF(AND(B110="Renforcé",Synthese!$B$6="Essentiel"),"",ROW()))</f>
        <v/>
      </c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8"/>
      <c r="G111" s="17"/>
      <c r="H111" s="0" t="str">
        <f aca="false">IF(OR(E111="Fait",E111="Non applicable",D111=""),"",IF(AND(B111="Renforcé",Synthese!$B$6="Essentiel"),"",ROW()))</f>
        <v/>
      </c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8"/>
      <c r="G112" s="17"/>
      <c r="H112" s="0" t="str">
        <f aca="false">IF(OR(E112="Fait",E112="Non applicable",D112=""),"",IF(AND(B112="Renforcé",Synthese!$B$6="Essentiel"),"",ROW()))</f>
        <v/>
      </c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8"/>
      <c r="G113" s="17"/>
      <c r="H113" s="0" t="str">
        <f aca="false">IF(OR(E113="Fait",E113="Non applicable",D113=""),"",IF(AND(B113="Renforcé",Synthese!$B$6="Essentiel"),"",ROW()))</f>
        <v/>
      </c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8"/>
      <c r="G114" s="17"/>
      <c r="H114" s="0" t="str">
        <f aca="false">IF(OR(E114="Fait",E114="Non applicable",D114=""),"",IF(AND(B114="Renforcé",Synthese!$B$6="Essentiel"),"",ROW()))</f>
        <v/>
      </c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8"/>
      <c r="G115" s="17"/>
      <c r="H115" s="0" t="str">
        <f aca="false">IF(OR(E115="Fait",E115="Non applicable",D115=""),"",IF(AND(B115="Renforcé",Synthese!$B$6="Essentiel"),"",ROW()))</f>
        <v/>
      </c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8"/>
      <c r="G116" s="17"/>
      <c r="H116" s="0" t="str">
        <f aca="false">IF(OR(E116="Fait",E116="Non applicable",D116=""),"",IF(AND(B116="Renforcé",Synthese!$B$6="Essentiel"),"",ROW()))</f>
        <v/>
      </c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8"/>
      <c r="G117" s="17"/>
      <c r="H117" s="0" t="str">
        <f aca="false">IF(OR(E117="Fait",E117="Non applicable",D117=""),"",IF(AND(B117="Renforcé",Synthese!$B$6="Essentiel"),"",ROW()))</f>
        <v/>
      </c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8"/>
      <c r="G118" s="17"/>
      <c r="H118" s="0" t="str">
        <f aca="false">IF(OR(E118="Fait",E118="Non applicable",D118=""),"",IF(AND(B118="Renforcé",Synthese!$B$6="Essentiel"),"",ROW()))</f>
        <v/>
      </c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8"/>
      <c r="G119" s="17"/>
      <c r="H119" s="0" t="str">
        <f aca="false">IF(OR(E119="Fait",E119="Non applicable",D119=""),"",IF(AND(B119="Renforcé",Synthese!$B$6="Essentiel"),"",ROW()))</f>
        <v/>
      </c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8"/>
      <c r="G120" s="17"/>
      <c r="H120" s="0" t="str">
        <f aca="false">IF(OR(E120="Fait",E120="Non applicable",D120=""),"",IF(AND(B120="Renforcé",Synthese!$B$6="Essentiel"),"",ROW()))</f>
        <v/>
      </c>
    </row>
  </sheetData>
  <autoFilter ref="A1:G120"/>
  <conditionalFormatting sqref="A2:G120">
    <cfRule type="expression" priority="2" aboveAverage="0" equalAverage="0" bottom="0" percent="0" rank="0" text="" dxfId="4">
      <formula>$E2="Fait"</formula>
    </cfRule>
    <cfRule type="expression" priority="3" aboveAverage="0" equalAverage="0" bottom="0" percent="0" rank="0" text="" dxfId="5">
      <formula>$E2="En cours"</formula>
    </cfRule>
    <cfRule type="expression" priority="4" aboveAverage="0" equalAverage="0" bottom="0" percent="0" rank="0" text="" dxfId="6">
      <formula>$E2="Non applicable"</formula>
    </cfRule>
  </conditionalFormatting>
  <dataValidations count="2">
    <dataValidation allowBlank="true" errorStyle="stop" operator="between" showDropDown="false" showErrorMessage="false" showInputMessage="false" sqref="E2:E120" type="list">
      <formula1>"À faire,En cours,Fait,Non applicable"</formula1>
      <formula2>0</formula2>
    </dataValidation>
    <dataValidation allowBlank="true" errorStyle="stop" operator="between" showDropDown="false" showErrorMessage="false" showInputMessage="false" sqref="B2:B120" type="list">
      <formula1>"Base,Renforcé"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34"/>
  </cols>
  <sheetData>
    <row r="1" customFormat="false" ht="23.85" hidden="false" customHeight="false" outlineLevel="0" collapsed="false">
      <c r="A1" s="15" t="s">
        <v>102</v>
      </c>
      <c r="B1" s="15" t="s">
        <v>103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108</v>
      </c>
      <c r="H1" s="15" t="s">
        <v>109</v>
      </c>
      <c r="I1" s="15" t="s">
        <v>110</v>
      </c>
      <c r="J1" s="15" t="s">
        <v>111</v>
      </c>
      <c r="K1" s="15" t="s">
        <v>112</v>
      </c>
      <c r="L1" s="15" t="s">
        <v>113</v>
      </c>
      <c r="M1" s="15" t="s">
        <v>42</v>
      </c>
    </row>
    <row r="2" customFormat="false" ht="23.85" hidden="false" customHeight="false" outlineLevel="0" collapsed="false">
      <c r="A2" s="17" t="s">
        <v>114</v>
      </c>
      <c r="B2" s="17" t="s">
        <v>115</v>
      </c>
      <c r="C2" s="17" t="s">
        <v>116</v>
      </c>
      <c r="D2" s="16" t="n">
        <f aca="false">IF(C2="","",LEN(C2))</f>
        <v>56</v>
      </c>
      <c r="E2" s="17" t="s">
        <v>117</v>
      </c>
      <c r="F2" s="20" t="n">
        <f aca="false">IF(E2="","",LEN(E2))</f>
        <v>126</v>
      </c>
      <c r="G2" s="17" t="s">
        <v>118</v>
      </c>
      <c r="H2" s="17" t="s">
        <v>118</v>
      </c>
      <c r="I2" s="17" t="s">
        <v>118</v>
      </c>
      <c r="J2" s="17" t="s">
        <v>118</v>
      </c>
      <c r="K2" s="17" t="s">
        <v>119</v>
      </c>
      <c r="L2" s="18" t="n">
        <v>46310</v>
      </c>
      <c r="M2" s="17" t="s">
        <v>120</v>
      </c>
    </row>
    <row r="3" customFormat="false" ht="15" hidden="false" customHeight="false" outlineLevel="0" collapsed="false">
      <c r="A3" s="17"/>
      <c r="B3" s="17"/>
      <c r="C3" s="17"/>
      <c r="D3" s="16" t="str">
        <f aca="false">IF(C3="","",LEN(C3))</f>
        <v/>
      </c>
      <c r="E3" s="17"/>
      <c r="F3" s="20" t="str">
        <f aca="false">IF(E3="","",LEN(E3))</f>
        <v/>
      </c>
      <c r="G3" s="17"/>
      <c r="H3" s="17"/>
      <c r="I3" s="17"/>
      <c r="J3" s="17"/>
      <c r="K3" s="17"/>
      <c r="L3" s="18"/>
      <c r="M3" s="17"/>
    </row>
    <row r="4" customFormat="false" ht="15" hidden="false" customHeight="false" outlineLevel="0" collapsed="false">
      <c r="A4" s="17"/>
      <c r="B4" s="17"/>
      <c r="C4" s="17"/>
      <c r="D4" s="16" t="str">
        <f aca="false">IF(C4="","",LEN(C4))</f>
        <v/>
      </c>
      <c r="E4" s="17"/>
      <c r="F4" s="20" t="str">
        <f aca="false">IF(E4="","",LEN(E4))</f>
        <v/>
      </c>
      <c r="G4" s="17"/>
      <c r="H4" s="17"/>
      <c r="I4" s="17"/>
      <c r="J4" s="17"/>
      <c r="K4" s="17"/>
      <c r="L4" s="18"/>
      <c r="M4" s="17"/>
    </row>
    <row r="5" customFormat="false" ht="15" hidden="false" customHeight="false" outlineLevel="0" collapsed="false">
      <c r="A5" s="17"/>
      <c r="B5" s="17"/>
      <c r="C5" s="17"/>
      <c r="D5" s="16" t="str">
        <f aca="false">IF(C5="","",LEN(C5))</f>
        <v/>
      </c>
      <c r="E5" s="17"/>
      <c r="F5" s="20" t="str">
        <f aca="false">IF(E5="","",LEN(E5))</f>
        <v/>
      </c>
      <c r="G5" s="17"/>
      <c r="H5" s="17"/>
      <c r="I5" s="17"/>
      <c r="J5" s="17"/>
      <c r="K5" s="17"/>
      <c r="L5" s="18"/>
      <c r="M5" s="17"/>
    </row>
    <row r="6" customFormat="false" ht="15" hidden="false" customHeight="false" outlineLevel="0" collapsed="false">
      <c r="A6" s="17"/>
      <c r="B6" s="17"/>
      <c r="C6" s="17"/>
      <c r="D6" s="16" t="str">
        <f aca="false">IF(C6="","",LEN(C6))</f>
        <v/>
      </c>
      <c r="E6" s="17"/>
      <c r="F6" s="20" t="str">
        <f aca="false">IF(E6="","",LEN(E6))</f>
        <v/>
      </c>
      <c r="G6" s="17"/>
      <c r="H6" s="17"/>
      <c r="I6" s="17"/>
      <c r="J6" s="17"/>
      <c r="K6" s="17"/>
      <c r="L6" s="18"/>
      <c r="M6" s="17"/>
    </row>
    <row r="7" customFormat="false" ht="15" hidden="false" customHeight="false" outlineLevel="0" collapsed="false">
      <c r="A7" s="17"/>
      <c r="B7" s="17"/>
      <c r="C7" s="17"/>
      <c r="D7" s="16" t="str">
        <f aca="false">IF(C7="","",LEN(C7))</f>
        <v/>
      </c>
      <c r="E7" s="17"/>
      <c r="F7" s="20" t="str">
        <f aca="false">IF(E7="","",LEN(E7))</f>
        <v/>
      </c>
      <c r="G7" s="17"/>
      <c r="H7" s="17"/>
      <c r="I7" s="17"/>
      <c r="J7" s="17"/>
      <c r="K7" s="17"/>
      <c r="L7" s="18"/>
      <c r="M7" s="17"/>
    </row>
    <row r="8" customFormat="false" ht="15" hidden="false" customHeight="false" outlineLevel="0" collapsed="false">
      <c r="A8" s="17"/>
      <c r="B8" s="17"/>
      <c r="C8" s="17"/>
      <c r="D8" s="16" t="str">
        <f aca="false">IF(C8="","",LEN(C8))</f>
        <v/>
      </c>
      <c r="E8" s="17"/>
      <c r="F8" s="20" t="str">
        <f aca="false">IF(E8="","",LEN(E8))</f>
        <v/>
      </c>
      <c r="G8" s="17"/>
      <c r="H8" s="17"/>
      <c r="I8" s="17"/>
      <c r="J8" s="17"/>
      <c r="K8" s="17"/>
      <c r="L8" s="18"/>
      <c r="M8" s="17"/>
    </row>
    <row r="9" customFormat="false" ht="15" hidden="false" customHeight="false" outlineLevel="0" collapsed="false">
      <c r="A9" s="17"/>
      <c r="B9" s="17"/>
      <c r="C9" s="17"/>
      <c r="D9" s="16" t="str">
        <f aca="false">IF(C9="","",LEN(C9))</f>
        <v/>
      </c>
      <c r="E9" s="17"/>
      <c r="F9" s="20" t="str">
        <f aca="false">IF(E9="","",LEN(E9))</f>
        <v/>
      </c>
      <c r="G9" s="17"/>
      <c r="H9" s="17"/>
      <c r="I9" s="17"/>
      <c r="J9" s="17"/>
      <c r="K9" s="17"/>
      <c r="L9" s="18"/>
      <c r="M9" s="17"/>
    </row>
    <row r="10" customFormat="false" ht="15" hidden="false" customHeight="false" outlineLevel="0" collapsed="false">
      <c r="A10" s="17"/>
      <c r="B10" s="17"/>
      <c r="C10" s="17"/>
      <c r="D10" s="16" t="str">
        <f aca="false">IF(C10="","",LEN(C10))</f>
        <v/>
      </c>
      <c r="E10" s="17"/>
      <c r="F10" s="20" t="str">
        <f aca="false">IF(E10="","",LEN(E10))</f>
        <v/>
      </c>
      <c r="G10" s="17"/>
      <c r="H10" s="17"/>
      <c r="I10" s="17"/>
      <c r="J10" s="17"/>
      <c r="K10" s="17"/>
      <c r="L10" s="18"/>
      <c r="M10" s="17"/>
    </row>
    <row r="11" customFormat="false" ht="15" hidden="false" customHeight="false" outlineLevel="0" collapsed="false">
      <c r="A11" s="17"/>
      <c r="B11" s="17"/>
      <c r="C11" s="17"/>
      <c r="D11" s="16" t="str">
        <f aca="false">IF(C11="","",LEN(C11))</f>
        <v/>
      </c>
      <c r="E11" s="17"/>
      <c r="F11" s="20" t="str">
        <f aca="false">IF(E11="","",LEN(E11))</f>
        <v/>
      </c>
      <c r="G11" s="17"/>
      <c r="H11" s="17"/>
      <c r="I11" s="17"/>
      <c r="J11" s="17"/>
      <c r="K11" s="17"/>
      <c r="L11" s="18"/>
      <c r="M11" s="17"/>
    </row>
    <row r="12" customFormat="false" ht="15" hidden="false" customHeight="false" outlineLevel="0" collapsed="false">
      <c r="A12" s="17"/>
      <c r="B12" s="17"/>
      <c r="C12" s="17"/>
      <c r="D12" s="16" t="str">
        <f aca="false">IF(C12="","",LEN(C12))</f>
        <v/>
      </c>
      <c r="E12" s="17"/>
      <c r="F12" s="20" t="str">
        <f aca="false">IF(E12="","",LEN(E12))</f>
        <v/>
      </c>
      <c r="G12" s="17"/>
      <c r="H12" s="17"/>
      <c r="I12" s="17"/>
      <c r="J12" s="17"/>
      <c r="K12" s="17"/>
      <c r="L12" s="18"/>
      <c r="M12" s="17"/>
    </row>
    <row r="13" customFormat="false" ht="15" hidden="false" customHeight="false" outlineLevel="0" collapsed="false">
      <c r="A13" s="17"/>
      <c r="B13" s="17"/>
      <c r="C13" s="17"/>
      <c r="D13" s="16" t="str">
        <f aca="false">IF(C13="","",LEN(C13))</f>
        <v/>
      </c>
      <c r="E13" s="17"/>
      <c r="F13" s="20" t="str">
        <f aca="false">IF(E13="","",LEN(E13))</f>
        <v/>
      </c>
      <c r="G13" s="17"/>
      <c r="H13" s="17"/>
      <c r="I13" s="17"/>
      <c r="J13" s="17"/>
      <c r="K13" s="17"/>
      <c r="L13" s="18"/>
      <c r="M13" s="17"/>
    </row>
    <row r="14" customFormat="false" ht="15" hidden="false" customHeight="false" outlineLevel="0" collapsed="false">
      <c r="A14" s="17"/>
      <c r="B14" s="17"/>
      <c r="C14" s="17"/>
      <c r="D14" s="16" t="str">
        <f aca="false">IF(C14="","",LEN(C14))</f>
        <v/>
      </c>
      <c r="E14" s="17"/>
      <c r="F14" s="20" t="str">
        <f aca="false">IF(E14="","",LEN(E14))</f>
        <v/>
      </c>
      <c r="G14" s="17"/>
      <c r="H14" s="17"/>
      <c r="I14" s="17"/>
      <c r="J14" s="17"/>
      <c r="K14" s="17"/>
      <c r="L14" s="18"/>
      <c r="M14" s="17"/>
    </row>
    <row r="15" customFormat="false" ht="15" hidden="false" customHeight="false" outlineLevel="0" collapsed="false">
      <c r="A15" s="17"/>
      <c r="B15" s="17"/>
      <c r="C15" s="17"/>
      <c r="D15" s="16" t="str">
        <f aca="false">IF(C15="","",LEN(C15))</f>
        <v/>
      </c>
      <c r="E15" s="17"/>
      <c r="F15" s="20" t="str">
        <f aca="false">IF(E15="","",LEN(E15))</f>
        <v/>
      </c>
      <c r="G15" s="17"/>
      <c r="H15" s="17"/>
      <c r="I15" s="17"/>
      <c r="J15" s="17"/>
      <c r="K15" s="17"/>
      <c r="L15" s="18"/>
      <c r="M15" s="17"/>
    </row>
    <row r="16" customFormat="false" ht="15" hidden="false" customHeight="false" outlineLevel="0" collapsed="false">
      <c r="A16" s="17"/>
      <c r="B16" s="17"/>
      <c r="C16" s="17"/>
      <c r="D16" s="16" t="str">
        <f aca="false">IF(C16="","",LEN(C16))</f>
        <v/>
      </c>
      <c r="E16" s="17"/>
      <c r="F16" s="20" t="str">
        <f aca="false">IF(E16="","",LEN(E16))</f>
        <v/>
      </c>
      <c r="G16" s="17"/>
      <c r="H16" s="17"/>
      <c r="I16" s="17"/>
      <c r="J16" s="17"/>
      <c r="K16" s="17"/>
      <c r="L16" s="18"/>
      <c r="M16" s="17"/>
    </row>
    <row r="17" customFormat="false" ht="15" hidden="false" customHeight="false" outlineLevel="0" collapsed="false">
      <c r="A17" s="17"/>
      <c r="B17" s="17"/>
      <c r="C17" s="17"/>
      <c r="D17" s="16" t="str">
        <f aca="false">IF(C17="","",LEN(C17))</f>
        <v/>
      </c>
      <c r="E17" s="17"/>
      <c r="F17" s="20" t="str">
        <f aca="false">IF(E17="","",LEN(E17))</f>
        <v/>
      </c>
      <c r="G17" s="17"/>
      <c r="H17" s="17"/>
      <c r="I17" s="17"/>
      <c r="J17" s="17"/>
      <c r="K17" s="17"/>
      <c r="L17" s="18"/>
      <c r="M17" s="17"/>
    </row>
    <row r="18" customFormat="false" ht="15" hidden="false" customHeight="false" outlineLevel="0" collapsed="false">
      <c r="A18" s="17"/>
      <c r="B18" s="17"/>
      <c r="C18" s="17"/>
      <c r="D18" s="16" t="str">
        <f aca="false">IF(C18="","",LEN(C18))</f>
        <v/>
      </c>
      <c r="E18" s="17"/>
      <c r="F18" s="20" t="str">
        <f aca="false">IF(E18="","",LEN(E18))</f>
        <v/>
      </c>
      <c r="G18" s="17"/>
      <c r="H18" s="17"/>
      <c r="I18" s="17"/>
      <c r="J18" s="17"/>
      <c r="K18" s="17"/>
      <c r="L18" s="18"/>
      <c r="M18" s="17"/>
    </row>
    <row r="19" customFormat="false" ht="15" hidden="false" customHeight="false" outlineLevel="0" collapsed="false">
      <c r="A19" s="17"/>
      <c r="B19" s="17"/>
      <c r="C19" s="17"/>
      <c r="D19" s="16" t="str">
        <f aca="false">IF(C19="","",LEN(C19))</f>
        <v/>
      </c>
      <c r="E19" s="17"/>
      <c r="F19" s="20" t="str">
        <f aca="false">IF(E19="","",LEN(E19))</f>
        <v/>
      </c>
      <c r="G19" s="17"/>
      <c r="H19" s="17"/>
      <c r="I19" s="17"/>
      <c r="J19" s="17"/>
      <c r="K19" s="17"/>
      <c r="L19" s="18"/>
      <c r="M19" s="17"/>
    </row>
    <row r="20" customFormat="false" ht="15" hidden="false" customHeight="false" outlineLevel="0" collapsed="false">
      <c r="A20" s="17"/>
      <c r="B20" s="17"/>
      <c r="C20" s="17"/>
      <c r="D20" s="16" t="str">
        <f aca="false">IF(C20="","",LEN(C20))</f>
        <v/>
      </c>
      <c r="E20" s="17"/>
      <c r="F20" s="20" t="str">
        <f aca="false">IF(E20="","",LEN(E20))</f>
        <v/>
      </c>
      <c r="G20" s="17"/>
      <c r="H20" s="17"/>
      <c r="I20" s="17"/>
      <c r="J20" s="17"/>
      <c r="K20" s="17"/>
      <c r="L20" s="18"/>
      <c r="M20" s="17"/>
    </row>
    <row r="21" customFormat="false" ht="15" hidden="false" customHeight="false" outlineLevel="0" collapsed="false">
      <c r="A21" s="17"/>
      <c r="B21" s="17"/>
      <c r="C21" s="17"/>
      <c r="D21" s="16" t="str">
        <f aca="false">IF(C21="","",LEN(C21))</f>
        <v/>
      </c>
      <c r="E21" s="17"/>
      <c r="F21" s="20" t="str">
        <f aca="false">IF(E21="","",LEN(E21))</f>
        <v/>
      </c>
      <c r="G21" s="17"/>
      <c r="H21" s="17"/>
      <c r="I21" s="17"/>
      <c r="J21" s="17"/>
      <c r="K21" s="17"/>
      <c r="L21" s="18"/>
      <c r="M21" s="17"/>
    </row>
    <row r="22" customFormat="false" ht="15" hidden="false" customHeight="false" outlineLevel="0" collapsed="false">
      <c r="A22" s="17"/>
      <c r="B22" s="17"/>
      <c r="C22" s="17"/>
      <c r="D22" s="16" t="str">
        <f aca="false">IF(C22="","",LEN(C22))</f>
        <v/>
      </c>
      <c r="E22" s="17"/>
      <c r="F22" s="20" t="str">
        <f aca="false">IF(E22="","",LEN(E22))</f>
        <v/>
      </c>
      <c r="G22" s="17"/>
      <c r="H22" s="17"/>
      <c r="I22" s="17"/>
      <c r="J22" s="17"/>
      <c r="K22" s="17"/>
      <c r="L22" s="18"/>
      <c r="M22" s="17"/>
    </row>
    <row r="23" customFormat="false" ht="15" hidden="false" customHeight="false" outlineLevel="0" collapsed="false">
      <c r="A23" s="17"/>
      <c r="B23" s="17"/>
      <c r="C23" s="17"/>
      <c r="D23" s="16" t="str">
        <f aca="false">IF(C23="","",LEN(C23))</f>
        <v/>
      </c>
      <c r="E23" s="17"/>
      <c r="F23" s="20" t="str">
        <f aca="false">IF(E23="","",LEN(E23))</f>
        <v/>
      </c>
      <c r="G23" s="17"/>
      <c r="H23" s="17"/>
      <c r="I23" s="17"/>
      <c r="J23" s="17"/>
      <c r="K23" s="17"/>
      <c r="L23" s="18"/>
      <c r="M23" s="17"/>
    </row>
    <row r="24" customFormat="false" ht="15" hidden="false" customHeight="false" outlineLevel="0" collapsed="false">
      <c r="A24" s="17"/>
      <c r="B24" s="17"/>
      <c r="C24" s="17"/>
      <c r="D24" s="16" t="str">
        <f aca="false">IF(C24="","",LEN(C24))</f>
        <v/>
      </c>
      <c r="E24" s="17"/>
      <c r="F24" s="20" t="str">
        <f aca="false">IF(E24="","",LEN(E24))</f>
        <v/>
      </c>
      <c r="G24" s="17"/>
      <c r="H24" s="17"/>
      <c r="I24" s="17"/>
      <c r="J24" s="17"/>
      <c r="K24" s="17"/>
      <c r="L24" s="18"/>
      <c r="M24" s="17"/>
    </row>
    <row r="25" customFormat="false" ht="15" hidden="false" customHeight="false" outlineLevel="0" collapsed="false">
      <c r="A25" s="17"/>
      <c r="B25" s="17"/>
      <c r="C25" s="17"/>
      <c r="D25" s="16" t="str">
        <f aca="false">IF(C25="","",LEN(C25))</f>
        <v/>
      </c>
      <c r="E25" s="17"/>
      <c r="F25" s="20" t="str">
        <f aca="false">IF(E25="","",LEN(E25))</f>
        <v/>
      </c>
      <c r="G25" s="17"/>
      <c r="H25" s="17"/>
      <c r="I25" s="17"/>
      <c r="J25" s="17"/>
      <c r="K25" s="17"/>
      <c r="L25" s="18"/>
      <c r="M25" s="17"/>
    </row>
    <row r="26" customFormat="false" ht="15" hidden="false" customHeight="false" outlineLevel="0" collapsed="false">
      <c r="A26" s="17"/>
      <c r="B26" s="17"/>
      <c r="C26" s="17"/>
      <c r="D26" s="16" t="str">
        <f aca="false">IF(C26="","",LEN(C26))</f>
        <v/>
      </c>
      <c r="E26" s="17"/>
      <c r="F26" s="20" t="str">
        <f aca="false">IF(E26="","",LEN(E26))</f>
        <v/>
      </c>
      <c r="G26" s="17"/>
      <c r="H26" s="17"/>
      <c r="I26" s="17"/>
      <c r="J26" s="17"/>
      <c r="K26" s="17"/>
      <c r="L26" s="18"/>
      <c r="M26" s="17"/>
    </row>
    <row r="27" customFormat="false" ht="15" hidden="false" customHeight="false" outlineLevel="0" collapsed="false">
      <c r="A27" s="17"/>
      <c r="B27" s="17"/>
      <c r="C27" s="17"/>
      <c r="D27" s="16" t="str">
        <f aca="false">IF(C27="","",LEN(C27))</f>
        <v/>
      </c>
      <c r="E27" s="17"/>
      <c r="F27" s="20" t="str">
        <f aca="false">IF(E27="","",LEN(E27))</f>
        <v/>
      </c>
      <c r="G27" s="17"/>
      <c r="H27" s="17"/>
      <c r="I27" s="17"/>
      <c r="J27" s="17"/>
      <c r="K27" s="17"/>
      <c r="L27" s="18"/>
      <c r="M27" s="17"/>
    </row>
    <row r="28" customFormat="false" ht="15" hidden="false" customHeight="false" outlineLevel="0" collapsed="false">
      <c r="A28" s="17"/>
      <c r="B28" s="17"/>
      <c r="C28" s="17"/>
      <c r="D28" s="16" t="str">
        <f aca="false">IF(C28="","",LEN(C28))</f>
        <v/>
      </c>
      <c r="E28" s="17"/>
      <c r="F28" s="20" t="str">
        <f aca="false">IF(E28="","",LEN(E28))</f>
        <v/>
      </c>
      <c r="G28" s="17"/>
      <c r="H28" s="17"/>
      <c r="I28" s="17"/>
      <c r="J28" s="17"/>
      <c r="K28" s="17"/>
      <c r="L28" s="18"/>
      <c r="M28" s="17"/>
    </row>
    <row r="29" customFormat="false" ht="15" hidden="false" customHeight="false" outlineLevel="0" collapsed="false">
      <c r="A29" s="17"/>
      <c r="B29" s="17"/>
      <c r="C29" s="17"/>
      <c r="D29" s="16" t="str">
        <f aca="false">IF(C29="","",LEN(C29))</f>
        <v/>
      </c>
      <c r="E29" s="17"/>
      <c r="F29" s="20" t="str">
        <f aca="false">IF(E29="","",LEN(E29))</f>
        <v/>
      </c>
      <c r="G29" s="17"/>
      <c r="H29" s="17"/>
      <c r="I29" s="17"/>
      <c r="J29" s="17"/>
      <c r="K29" s="17"/>
      <c r="L29" s="18"/>
      <c r="M29" s="17"/>
    </row>
    <row r="30" customFormat="false" ht="15" hidden="false" customHeight="false" outlineLevel="0" collapsed="false">
      <c r="A30" s="17"/>
      <c r="B30" s="17"/>
      <c r="C30" s="17"/>
      <c r="D30" s="16" t="str">
        <f aca="false">IF(C30="","",LEN(C30))</f>
        <v/>
      </c>
      <c r="E30" s="17"/>
      <c r="F30" s="20" t="str">
        <f aca="false">IF(E30="","",LEN(E30))</f>
        <v/>
      </c>
      <c r="G30" s="17"/>
      <c r="H30" s="17"/>
      <c r="I30" s="17"/>
      <c r="J30" s="17"/>
      <c r="K30" s="17"/>
      <c r="L30" s="18"/>
      <c r="M30" s="17"/>
    </row>
    <row r="31" customFormat="false" ht="15" hidden="false" customHeight="false" outlineLevel="0" collapsed="false">
      <c r="A31" s="17"/>
      <c r="B31" s="17"/>
      <c r="C31" s="17"/>
      <c r="D31" s="16" t="str">
        <f aca="false">IF(C31="","",LEN(C31))</f>
        <v/>
      </c>
      <c r="E31" s="17"/>
      <c r="F31" s="20" t="str">
        <f aca="false">IF(E31="","",LEN(E31))</f>
        <v/>
      </c>
      <c r="G31" s="17"/>
      <c r="H31" s="17"/>
      <c r="I31" s="17"/>
      <c r="J31" s="17"/>
      <c r="K31" s="17"/>
      <c r="L31" s="18"/>
      <c r="M31" s="17"/>
    </row>
    <row r="32" customFormat="false" ht="15" hidden="false" customHeight="false" outlineLevel="0" collapsed="false">
      <c r="A32" s="17"/>
      <c r="B32" s="17"/>
      <c r="C32" s="17"/>
      <c r="D32" s="16" t="str">
        <f aca="false">IF(C32="","",LEN(C32))</f>
        <v/>
      </c>
      <c r="E32" s="17"/>
      <c r="F32" s="20" t="str">
        <f aca="false">IF(E32="","",LEN(E32))</f>
        <v/>
      </c>
      <c r="G32" s="17"/>
      <c r="H32" s="17"/>
      <c r="I32" s="17"/>
      <c r="J32" s="17"/>
      <c r="K32" s="17"/>
      <c r="L32" s="18"/>
      <c r="M32" s="17"/>
    </row>
    <row r="33" customFormat="false" ht="15" hidden="false" customHeight="false" outlineLevel="0" collapsed="false">
      <c r="A33" s="17"/>
      <c r="B33" s="17"/>
      <c r="C33" s="17"/>
      <c r="D33" s="16" t="str">
        <f aca="false">IF(C33="","",LEN(C33))</f>
        <v/>
      </c>
      <c r="E33" s="17"/>
      <c r="F33" s="20" t="str">
        <f aca="false">IF(E33="","",LEN(E33))</f>
        <v/>
      </c>
      <c r="G33" s="17"/>
      <c r="H33" s="17"/>
      <c r="I33" s="17"/>
      <c r="J33" s="17"/>
      <c r="K33" s="17"/>
      <c r="L33" s="18"/>
      <c r="M33" s="17"/>
    </row>
    <row r="34" customFormat="false" ht="15" hidden="false" customHeight="false" outlineLevel="0" collapsed="false">
      <c r="A34" s="17"/>
      <c r="B34" s="17"/>
      <c r="C34" s="17"/>
      <c r="D34" s="16" t="str">
        <f aca="false">IF(C34="","",LEN(C34))</f>
        <v/>
      </c>
      <c r="E34" s="17"/>
      <c r="F34" s="20" t="str">
        <f aca="false">IF(E34="","",LEN(E34))</f>
        <v/>
      </c>
      <c r="G34" s="17"/>
      <c r="H34" s="17"/>
      <c r="I34" s="17"/>
      <c r="J34" s="17"/>
      <c r="K34" s="17"/>
      <c r="L34" s="18"/>
      <c r="M34" s="17"/>
    </row>
    <row r="35" customFormat="false" ht="15" hidden="false" customHeight="false" outlineLevel="0" collapsed="false">
      <c r="A35" s="17"/>
      <c r="B35" s="17"/>
      <c r="C35" s="17"/>
      <c r="D35" s="16" t="str">
        <f aca="false">IF(C35="","",LEN(C35))</f>
        <v/>
      </c>
      <c r="E35" s="17"/>
      <c r="F35" s="20" t="str">
        <f aca="false">IF(E35="","",LEN(E35))</f>
        <v/>
      </c>
      <c r="G35" s="17"/>
      <c r="H35" s="17"/>
      <c r="I35" s="17"/>
      <c r="J35" s="17"/>
      <c r="K35" s="17"/>
      <c r="L35" s="18"/>
      <c r="M35" s="17"/>
    </row>
    <row r="36" customFormat="false" ht="15" hidden="false" customHeight="false" outlineLevel="0" collapsed="false">
      <c r="A36" s="17"/>
      <c r="B36" s="17"/>
      <c r="C36" s="17"/>
      <c r="D36" s="16" t="str">
        <f aca="false">IF(C36="","",LEN(C36))</f>
        <v/>
      </c>
      <c r="E36" s="17"/>
      <c r="F36" s="20" t="str">
        <f aca="false">IF(E36="","",LEN(E36))</f>
        <v/>
      </c>
      <c r="G36" s="17"/>
      <c r="H36" s="17"/>
      <c r="I36" s="17"/>
      <c r="J36" s="17"/>
      <c r="K36" s="17"/>
      <c r="L36" s="18"/>
      <c r="M36" s="17"/>
    </row>
    <row r="37" customFormat="false" ht="15" hidden="false" customHeight="false" outlineLevel="0" collapsed="false">
      <c r="A37" s="17"/>
      <c r="B37" s="17"/>
      <c r="C37" s="17"/>
      <c r="D37" s="16" t="str">
        <f aca="false">IF(C37="","",LEN(C37))</f>
        <v/>
      </c>
      <c r="E37" s="17"/>
      <c r="F37" s="20" t="str">
        <f aca="false">IF(E37="","",LEN(E37))</f>
        <v/>
      </c>
      <c r="G37" s="17"/>
      <c r="H37" s="17"/>
      <c r="I37" s="17"/>
      <c r="J37" s="17"/>
      <c r="K37" s="17"/>
      <c r="L37" s="18"/>
      <c r="M37" s="17"/>
    </row>
    <row r="38" customFormat="false" ht="15" hidden="false" customHeight="false" outlineLevel="0" collapsed="false">
      <c r="A38" s="17"/>
      <c r="B38" s="17"/>
      <c r="C38" s="17"/>
      <c r="D38" s="16" t="str">
        <f aca="false">IF(C38="","",LEN(C38))</f>
        <v/>
      </c>
      <c r="E38" s="17"/>
      <c r="F38" s="20" t="str">
        <f aca="false">IF(E38="","",LEN(E38))</f>
        <v/>
      </c>
      <c r="G38" s="17"/>
      <c r="H38" s="17"/>
      <c r="I38" s="17"/>
      <c r="J38" s="17"/>
      <c r="K38" s="17"/>
      <c r="L38" s="18"/>
      <c r="M38" s="17"/>
    </row>
    <row r="39" customFormat="false" ht="15" hidden="false" customHeight="false" outlineLevel="0" collapsed="false">
      <c r="A39" s="17"/>
      <c r="B39" s="17"/>
      <c r="C39" s="17"/>
      <c r="D39" s="16" t="str">
        <f aca="false">IF(C39="","",LEN(C39))</f>
        <v/>
      </c>
      <c r="E39" s="17"/>
      <c r="F39" s="20" t="str">
        <f aca="false">IF(E39="","",LEN(E39))</f>
        <v/>
      </c>
      <c r="G39" s="17"/>
      <c r="H39" s="17"/>
      <c r="I39" s="17"/>
      <c r="J39" s="17"/>
      <c r="K39" s="17"/>
      <c r="L39" s="18"/>
      <c r="M39" s="17"/>
    </row>
    <row r="40" customFormat="false" ht="15" hidden="false" customHeight="false" outlineLevel="0" collapsed="false">
      <c r="A40" s="17"/>
      <c r="B40" s="17"/>
      <c r="C40" s="17"/>
      <c r="D40" s="16" t="str">
        <f aca="false">IF(C40="","",LEN(C40))</f>
        <v/>
      </c>
      <c r="E40" s="17"/>
      <c r="F40" s="20" t="str">
        <f aca="false">IF(E40="","",LEN(E40))</f>
        <v/>
      </c>
      <c r="G40" s="17"/>
      <c r="H40" s="17"/>
      <c r="I40" s="17"/>
      <c r="J40" s="17"/>
      <c r="K40" s="17"/>
      <c r="L40" s="18"/>
      <c r="M40" s="17"/>
    </row>
    <row r="42" customFormat="false" ht="15" hidden="false" customHeight="false" outlineLevel="0" collapsed="false">
      <c r="A42" s="2" t="s">
        <v>121</v>
      </c>
    </row>
  </sheetData>
  <conditionalFormatting sqref="D2:D40">
    <cfRule type="expression" priority="2" aboveAverage="0" equalAverage="0" bottom="0" percent="0" rank="0" text="" dxfId="7">
      <formula>AND(ISNUMBER(D2),D2&gt;60)</formula>
    </cfRule>
  </conditionalFormatting>
  <conditionalFormatting sqref="F2:F40">
    <cfRule type="expression" priority="3" aboveAverage="0" equalAverage="0" bottom="0" percent="0" rank="0" text="" dxfId="7">
      <formula>AND(ISNUMBER(F2),OR(F2&lt;100,F2&gt;155))</formula>
    </cfRule>
  </conditionalFormatting>
  <conditionalFormatting sqref="G2:K40">
    <cfRule type="expression" priority="4" aboveAverage="0" equalAverage="0" bottom="0" percent="0" rank="0" text="" dxfId="7">
      <formula>G2="Non"</formula>
    </cfRule>
    <cfRule type="expression" priority="5" aboveAverage="0" equalAverage="0" bottom="0" percent="0" rank="0" text="" dxfId="4">
      <formula>G2="Oui"</formula>
    </cfRule>
  </conditionalFormatting>
  <dataValidations count="1">
    <dataValidation allowBlank="true" errorStyle="stop" operator="between" showDropDown="false" showErrorMessage="false" showInputMessage="false" sqref="G2:K40" type="list">
      <formula1>"Oui,Non,À vérifier"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2026-10-15T18:57:44Z</dcterms:created>
  <dc:creator>openpyxl</dc:creator>
  <dc:description/>
  <dc:language>en-US</dc:language>
  <cp:lastModifiedBy/>
  <dcterms:modified xsi:type="dcterms:W3CDTF">2026-10-15T18:57:45Z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