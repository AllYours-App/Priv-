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gende" sheetId="1" state="visible" r:id="rId3"/>
    <sheet name="Prospects" sheetId="2" state="visible" r:id="rId4"/>
    <sheet name="Synthèse" sheetId="3" state="visible" r:id="rId5"/>
    <sheet name="Opposition" sheetId="4" state="visible" r:id="rId6"/>
  </sheets>
  <definedNames>
    <definedName function="false" hidden="true" localSheetId="1" name="_xlnm._FilterDatabase" vbProcedure="false">Prospects!$A$1:$W$501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<sst xmlns="http://schemas.openxmlformats.org/spreadsheetml/2006/main" count="74" uniqueCount="72">
  <si>
    <t xml:space="preserve">Tableau de suivi des prospects (étape 2.6)</t>
  </si>
  <si>
    <t xml:space="preserve">Fichier de travail pour la prospection : une ligne par entreprise, dans l'onglet Prospects.</t>
  </si>
  <si>
    <t xml:space="preserve">Comment l'utiliser</t>
  </si>
  <si>
    <t xml:space="preserve">1. Colonnes à fond jaune (A à S) : tu les remplis à la main. Colonnes à fond gris (T à W) : calculées, ne les modifie pas.</t>
  </si>
  <si>
    <t xml:space="preserve">2. Source de la donnée est obligatoire pour chaque ligne : elle sert à informer la personne au premier contact (voir 03-conformite-prospection).</t>
  </si>
  <si>
    <t xml:space="preserve">3. Dates au format JJ/MM/AAAA. Canal du 1er contact : Email ou Téléphone. Statut : liste déroulante.</t>
  </si>
  <si>
    <t xml:space="preserve">4. La colonne Alerte indique ce qui est à faire aujourd'hui : Relance 1, Relance 2 ou Rappel. Elle se met à jour à l'ouverture du fichier.</t>
  </si>
  <si>
    <t xml:space="preserve">5. Opposition : passe le statut à Opposition, puis remplis l'onglet Opposition. Efface ensuite téléphone et email de la ligne Prospects.</t>
  </si>
  <si>
    <t xml:space="preserve">6. Supprimer avant le : 3 ans après la dernière date renseignée (collecte, contact, relances, rendez-vous). Durée proposée, à valider avec le juriste (2.7).</t>
  </si>
  <si>
    <t xml:space="preserve">Hypothèses de calcul</t>
  </si>
  <si>
    <t xml:space="preserve">Relance 1 due : 5 jours ouvrés après le 1er contact par email. Relance 2 due : 7 jours ouvrés après la relance 1. Ce sont les délais de 01-emails-prospection ; les jours fériés ne sont pas déduits.</t>
  </si>
  <si>
    <t xml:space="preserve">Capacité : 500 lignes (2 à 501). Pour plus, copie la dernière ligne vers le bas.</t>
  </si>
  <si>
    <t xml:space="preserve">Statuts possibles</t>
  </si>
  <si>
    <t xml:space="preserve">• À contacter</t>
  </si>
  <si>
    <t xml:space="preserve">• Contacté par email</t>
  </si>
  <si>
    <t xml:space="preserve">• Email à envoyer</t>
  </si>
  <si>
    <t xml:space="preserve">• À rappeler</t>
  </si>
  <si>
    <t xml:space="preserve">• Relancé</t>
  </si>
  <si>
    <t xml:space="preserve">• Rendez-vous pris</t>
  </si>
  <si>
    <t xml:space="preserve">• Devis envoyé</t>
  </si>
  <si>
    <t xml:space="preserve">• Client</t>
  </si>
  <si>
    <t xml:space="preserve">• Pas intéressé</t>
  </si>
  <si>
    <t xml:space="preserve">• Opposition</t>
  </si>
  <si>
    <t xml:space="preserve">• Numéro erroné</t>
  </si>
  <si>
    <t xml:space="preserve">N°</t>
  </si>
  <si>
    <t xml:space="preserve">Nom de l'entreprise</t>
  </si>
  <si>
    <t xml:space="preserve">Activité</t>
  </si>
  <si>
    <t xml:space="preserve">Ville</t>
  </si>
  <si>
    <t xml:space="preserve">Département</t>
  </si>
  <si>
    <t xml:space="preserve">Site actuel</t>
  </si>
  <si>
    <t xml:space="preserve">Téléphone</t>
  </si>
  <si>
    <t xml:space="preserve">Email professionnel</t>
  </si>
  <si>
    <t xml:space="preserve">Source de la donnée</t>
  </si>
  <si>
    <t xml:space="preserve">Date de collecte</t>
  </si>
  <si>
    <t xml:space="preserve">Date du 1er contact</t>
  </si>
  <si>
    <t xml:space="preserve">Canal du 1er contact</t>
  </si>
  <si>
    <t xml:space="preserve">Statut</t>
  </si>
  <si>
    <t xml:space="preserve">Prochaine action</t>
  </si>
  <si>
    <t xml:space="preserve">Date de rappel</t>
  </si>
  <si>
    <t xml:space="preserve">Relance 1 envoyée le</t>
  </si>
  <si>
    <t xml:space="preserve">Relance 2 envoyée le</t>
  </si>
  <si>
    <t xml:space="preserve">Rendez-vous le</t>
  </si>
  <si>
    <t xml:space="preserve">Notes</t>
  </si>
  <si>
    <t xml:space="preserve">Supprimer avant le</t>
  </si>
  <si>
    <t xml:space="preserve">Relance 1 due le</t>
  </si>
  <si>
    <t xml:space="preserve">Relance 2 due le</t>
  </si>
  <si>
    <t xml:space="preserve">Alerte</t>
  </si>
  <si>
    <t xml:space="preserve">Synthèse</t>
  </si>
  <si>
    <t xml:space="preserve">Indicateur</t>
  </si>
  <si>
    <t xml:space="preserve">Nombre</t>
  </si>
  <si>
    <t xml:space="preserve">Prospects saisis</t>
  </si>
  <si>
    <t xml:space="preserve">Premiers contacts effectués</t>
  </si>
  <si>
    <t xml:space="preserve">Premiers contacts par email</t>
  </si>
  <si>
    <t xml:space="preserve">Premiers contacts par téléphone</t>
  </si>
  <si>
    <t xml:space="preserve">Rendez-vous planifiés</t>
  </si>
  <si>
    <t xml:space="preserve">Statut : À contacter</t>
  </si>
  <si>
    <t xml:space="preserve">Statut : Contacté par email</t>
  </si>
  <si>
    <t xml:space="preserve">Statut : Email à envoyer</t>
  </si>
  <si>
    <t xml:space="preserve">Statut : À rappeler</t>
  </si>
  <si>
    <t xml:space="preserve">Statut : Relancé</t>
  </si>
  <si>
    <t xml:space="preserve">Statut : Rendez-vous pris</t>
  </si>
  <si>
    <t xml:space="preserve">Statut : Devis envoyé</t>
  </si>
  <si>
    <t xml:space="preserve">Statut : Client</t>
  </si>
  <si>
    <t xml:space="preserve">Statut : Pas intéressé</t>
  </si>
  <si>
    <t xml:space="preserve">Statut : Opposition</t>
  </si>
  <si>
    <t xml:space="preserve">Statut : Numéro erroné</t>
  </si>
  <si>
    <t xml:space="preserve">Alertes à traiter aujourd'hui</t>
  </si>
  <si>
    <t xml:space="preserve">Email ou téléphone concerné</t>
  </si>
  <si>
    <t xml:space="preserve">Date de la demande</t>
  </si>
  <si>
    <t xml:space="preserve">Canal</t>
  </si>
  <si>
    <t xml:space="preserve">Traitée le</t>
  </si>
  <si>
    <t xml:space="preserve">Cet onglet ne garde que ce qui sert à ne pas recontacter la personne.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</si>
</sst>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FD699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6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23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32"/>
    <col collapsed="false" customWidth="true" hidden="false" outlineLevel="0" max="11" min="10" style="1" width="14"/>
    <col collapsed="false" customWidth="true" hidden="false" outlineLevel="0" max="12" min="12" style="1" width="16"/>
    <col collapsed="false" customWidth="true" hidden="false" outlineLevel="0" max="13" min="13" style="1" width="20"/>
    <col collapsed="false" customWidth="true" hidden="false" outlineLevel="0" max="14" min="14" style="1" width="28"/>
    <col collapsed="false" customWidth="true" hidden="false" outlineLevel="0" max="15" min="15" style="1" width="14"/>
    <col collapsed="false" customWidth="true" hidden="false" outlineLevel="0" max="17" min="16" style="1" width="16"/>
    <col collapsed="false" customWidth="true" hidden="false" outlineLevel="0" max="18" min="18" style="1" width="14"/>
    <col collapsed="false" customWidth="true" hidden="false" outlineLevel="0" max="19" min="19" style="1" width="34"/>
    <col collapsed="false" customWidth="true" hidden="false" outlineLevel="0" max="22" min="20" style="1" width="16"/>
    <col collapsed="false" customWidth="true" hidden="false" outlineLevel="0" max="23" min="23" style="1" width="22"/>
  </cols>
  <sheetData>
    <row r="1" customFormat="false" ht="42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6" t="s">
        <v>43</v>
      </c>
      <c r="U1" s="6" t="s">
        <v>44</v>
      </c>
      <c r="V1" s="6" t="s">
        <v>45</v>
      </c>
      <c r="W1" s="6" t="s">
        <v>46</v>
      </c>
    </row>
    <row r="2" customFormat="false" ht="15" hidden="false" customHeight="false" outlineLevel="0" collapsed="false">
      <c r="A2" s="7" t="n">
        <v>1</v>
      </c>
      <c r="B2" s="8"/>
      <c r="C2" s="8"/>
      <c r="D2" s="7"/>
      <c r="E2" s="7"/>
      <c r="F2" s="8"/>
      <c r="G2" s="7"/>
      <c r="H2" s="7"/>
      <c r="I2" s="8"/>
      <c r="J2" s="9"/>
      <c r="K2" s="9"/>
      <c r="L2" s="7"/>
      <c r="M2" s="7"/>
      <c r="N2" s="8"/>
      <c r="O2" s="9"/>
      <c r="P2" s="9"/>
      <c r="Q2" s="9"/>
      <c r="R2" s="9"/>
      <c r="S2" s="8"/>
      <c r="T2" s="9" t="str">
        <f aca="false">IF(J2="","",EDATE(MAX(J2,K2,P2,Q2,R2),36))</f>
        <v/>
      </c>
      <c r="U2" s="9" t="str">
        <f aca="false">IF(OR(L2&lt;&gt;"Email",K2="",P2&lt;&gt;"",M2="Opposition",M2="Pas intéressé",M2="Client",M2="Rendez-vous pris",M2="Numéro erroné"),"",WORKDAY(K2,5))</f>
        <v/>
      </c>
      <c r="V2" s="9" t="str">
        <f aca="false">IF(OR(P2="",Q2&lt;&gt;"",M2="Opposition",M2="Pas intéressé",M2="Client",M2="Rendez-vous pris",M2="Numéro erroné"),"",WORKDAY(P2,7))</f>
        <v/>
      </c>
      <c r="W2" s="7" t="str">
        <f aca="true">IF(M2="Opposition","Ne pas contacter",IF(AND(U2&lt;&gt;"",U2&lt;=TODAY()),"Relance 1 à envoyer",IF(AND(V2&lt;&gt;"",V2&lt;=TODAY()),"Relance 2 à envoyer",IF(AND(O2&lt;&gt;"",O2&lt;=TODAY()),"Rappel à faire",""))))</f>
        <v/>
      </c>
    </row>
    <row r="3" customFormat="false" ht="15" hidden="false" customHeight="false" outlineLevel="0" collapsed="false">
      <c r="A3" s="7" t="n">
        <v>2</v>
      </c>
      <c r="B3" s="8"/>
      <c r="C3" s="8"/>
      <c r="D3" s="7"/>
      <c r="E3" s="7"/>
      <c r="F3" s="8"/>
      <c r="G3" s="7"/>
      <c r="H3" s="7"/>
      <c r="I3" s="8"/>
      <c r="J3" s="9"/>
      <c r="K3" s="9"/>
      <c r="L3" s="7"/>
      <c r="M3" s="7"/>
      <c r="N3" s="8"/>
      <c r="O3" s="9"/>
      <c r="P3" s="9"/>
      <c r="Q3" s="9"/>
      <c r="R3" s="9"/>
      <c r="S3" s="8"/>
      <c r="T3" s="9" t="str">
        <f aca="false">IF(J3="","",EDATE(MAX(J3,K3,P3,Q3,R3),36))</f>
        <v/>
      </c>
      <c r="U3" s="9" t="str">
        <f aca="false">IF(OR(L3&lt;&gt;"Email",K3="",P3&lt;&gt;"",M3="Opposition",M3="Pas intéressé",M3="Client",M3="Rendez-vous pris",M3="Numéro erroné"),"",WORKDAY(K3,5))</f>
        <v/>
      </c>
      <c r="V3" s="9" t="str">
        <f aca="false">IF(OR(P3="",Q3&lt;&gt;"",M3="Opposition",M3="Pas intéressé",M3="Client",M3="Rendez-vous pris",M3="Numéro erroné"),"",WORKDAY(P3,7))</f>
        <v/>
      </c>
      <c r="W3" s="7" t="str">
        <f aca="true">IF(M3="Opposition","Ne pas contacter",IF(AND(U3&lt;&gt;"",U3&lt;=TODAY()),"Relance 1 à envoyer",IF(AND(V3&lt;&gt;"",V3&lt;=TODAY()),"Relance 2 à envoyer",IF(AND(O3&lt;&gt;"",O3&lt;=TODAY()),"Rappel à faire",""))))</f>
        <v/>
      </c>
    </row>
    <row r="4" customFormat="false" ht="15" hidden="false" customHeight="false" outlineLevel="0" collapsed="false">
      <c r="A4" s="7" t="n">
        <v>3</v>
      </c>
      <c r="B4" s="8"/>
      <c r="C4" s="8"/>
      <c r="D4" s="7"/>
      <c r="E4" s="7"/>
      <c r="F4" s="8"/>
      <c r="G4" s="7"/>
      <c r="H4" s="7"/>
      <c r="I4" s="8"/>
      <c r="J4" s="9"/>
      <c r="K4" s="9"/>
      <c r="L4" s="7"/>
      <c r="M4" s="7"/>
      <c r="N4" s="8"/>
      <c r="O4" s="9"/>
      <c r="P4" s="9"/>
      <c r="Q4" s="9"/>
      <c r="R4" s="9"/>
      <c r="S4" s="8"/>
      <c r="T4" s="9" t="str">
        <f aca="false">IF(J4="","",EDATE(MAX(J4,K4,P4,Q4,R4),36))</f>
        <v/>
      </c>
      <c r="U4" s="9" t="str">
        <f aca="false">IF(OR(L4&lt;&gt;"Email",K4="",P4&lt;&gt;"",M4="Opposition",M4="Pas intéressé",M4="Client",M4="Rendez-vous pris",M4="Numéro erroné"),"",WORKDAY(K4,5))</f>
        <v/>
      </c>
      <c r="V4" s="9" t="str">
        <f aca="false">IF(OR(P4="",Q4&lt;&gt;"",M4="Opposition",M4="Pas intéressé",M4="Client",M4="Rendez-vous pris",M4="Numéro erroné"),"",WORKDAY(P4,7))</f>
        <v/>
      </c>
      <c r="W4" s="7" t="str">
        <f aca="true">IF(M4="Opposition","Ne pas contacter",IF(AND(U4&lt;&gt;"",U4&lt;=TODAY()),"Relance 1 à envoyer",IF(AND(V4&lt;&gt;"",V4&lt;=TODAY()),"Relance 2 à envoyer",IF(AND(O4&lt;&gt;"",O4&lt;=TODAY()),"Rappel à faire",""))))</f>
        <v/>
      </c>
    </row>
    <row r="5" customFormat="false" ht="15" hidden="false" customHeight="false" outlineLevel="0" collapsed="false">
      <c r="A5" s="7" t="n">
        <v>4</v>
      </c>
      <c r="B5" s="8"/>
      <c r="C5" s="8"/>
      <c r="D5" s="7"/>
      <c r="E5" s="7"/>
      <c r="F5" s="8"/>
      <c r="G5" s="7"/>
      <c r="H5" s="7"/>
      <c r="I5" s="8"/>
      <c r="J5" s="9"/>
      <c r="K5" s="9"/>
      <c r="L5" s="7"/>
      <c r="M5" s="7"/>
      <c r="N5" s="8"/>
      <c r="O5" s="9"/>
      <c r="P5" s="9"/>
      <c r="Q5" s="9"/>
      <c r="R5" s="9"/>
      <c r="S5" s="8"/>
      <c r="T5" s="9" t="str">
        <f aca="false">IF(J5="","",EDATE(MAX(J5,K5,P5,Q5,R5),36))</f>
        <v/>
      </c>
      <c r="U5" s="9" t="str">
        <f aca="false">IF(OR(L5&lt;&gt;"Email",K5="",P5&lt;&gt;"",M5="Opposition",M5="Pas intéressé",M5="Client",M5="Rendez-vous pris",M5="Numéro erroné"),"",WORKDAY(K5,5))</f>
        <v/>
      </c>
      <c r="V5" s="9" t="str">
        <f aca="false">IF(OR(P5="",Q5&lt;&gt;"",M5="Opposition",M5="Pas intéressé",M5="Client",M5="Rendez-vous pris",M5="Numéro erroné"),"",WORKDAY(P5,7))</f>
        <v/>
      </c>
      <c r="W5" s="7" t="str">
        <f aca="true">IF(M5="Opposition","Ne pas contacter",IF(AND(U5&lt;&gt;"",U5&lt;=TODAY()),"Relance 1 à envoyer",IF(AND(V5&lt;&gt;"",V5&lt;=TODAY()),"Relance 2 à envoyer",IF(AND(O5&lt;&gt;"",O5&lt;=TODAY()),"Rappel à faire",""))))</f>
        <v/>
      </c>
    </row>
    <row r="6" customFormat="false" ht="15" hidden="false" customHeight="false" outlineLevel="0" collapsed="false">
      <c r="A6" s="7" t="n">
        <v>5</v>
      </c>
      <c r="B6" s="8"/>
      <c r="C6" s="8"/>
      <c r="D6" s="7"/>
      <c r="E6" s="7"/>
      <c r="F6" s="8"/>
      <c r="G6" s="7"/>
      <c r="H6" s="7"/>
      <c r="I6" s="8"/>
      <c r="J6" s="9"/>
      <c r="K6" s="9"/>
      <c r="L6" s="7"/>
      <c r="M6" s="7"/>
      <c r="N6" s="8"/>
      <c r="O6" s="9"/>
      <c r="P6" s="9"/>
      <c r="Q6" s="9"/>
      <c r="R6" s="9"/>
      <c r="S6" s="8"/>
      <c r="T6" s="9" t="str">
        <f aca="false">IF(J6="","",EDATE(MAX(J6,K6,P6,Q6,R6),36))</f>
        <v/>
      </c>
      <c r="U6" s="9" t="str">
        <f aca="false">IF(OR(L6&lt;&gt;"Email",K6="",P6&lt;&gt;"",M6="Opposition",M6="Pas intéressé",M6="Client",M6="Rendez-vous pris",M6="Numéro erroné"),"",WORKDAY(K6,5))</f>
        <v/>
      </c>
      <c r="V6" s="9" t="str">
        <f aca="false">IF(OR(P6="",Q6&lt;&gt;"",M6="Opposition",M6="Pas intéressé",M6="Client",M6="Rendez-vous pris",M6="Numéro erroné"),"",WORKDAY(P6,7))</f>
        <v/>
      </c>
      <c r="W6" s="7" t="str">
        <f aca="true">IF(M6="Opposition","Ne pas contacter",IF(AND(U6&lt;&gt;"",U6&lt;=TODAY()),"Relance 1 à envoyer",IF(AND(V6&lt;&gt;"",V6&lt;=TODAY()),"Relance 2 à envoyer",IF(AND(O6&lt;&gt;"",O6&lt;=TODAY()),"Rappel à faire",""))))</f>
        <v/>
      </c>
    </row>
    <row r="7" customFormat="false" ht="15" hidden="false" customHeight="false" outlineLevel="0" collapsed="false">
      <c r="A7" s="7" t="n">
        <v>6</v>
      </c>
      <c r="B7" s="8"/>
      <c r="C7" s="8"/>
      <c r="D7" s="7"/>
      <c r="E7" s="7"/>
      <c r="F7" s="8"/>
      <c r="G7" s="7"/>
      <c r="H7" s="7"/>
      <c r="I7" s="8"/>
      <c r="J7" s="9"/>
      <c r="K7" s="9"/>
      <c r="L7" s="7"/>
      <c r="M7" s="7"/>
      <c r="N7" s="8"/>
      <c r="O7" s="9"/>
      <c r="P7" s="9"/>
      <c r="Q7" s="9"/>
      <c r="R7" s="9"/>
      <c r="S7" s="8"/>
      <c r="T7" s="9" t="str">
        <f aca="false">IF(J7="","",EDATE(MAX(J7,K7,P7,Q7,R7),36))</f>
        <v/>
      </c>
      <c r="U7" s="9" t="str">
        <f aca="false">IF(OR(L7&lt;&gt;"Email",K7="",P7&lt;&gt;"",M7="Opposition",M7="Pas intéressé",M7="Client",M7="Rendez-vous pris",M7="Numéro erroné"),"",WORKDAY(K7,5))</f>
        <v/>
      </c>
      <c r="V7" s="9" t="str">
        <f aca="false">IF(OR(P7="",Q7&lt;&gt;"",M7="Opposition",M7="Pas intéressé",M7="Client",M7="Rendez-vous pris",M7="Numéro erroné"),"",WORKDAY(P7,7))</f>
        <v/>
      </c>
      <c r="W7" s="7" t="str">
        <f aca="true">IF(M7="Opposition","Ne pas contacter",IF(AND(U7&lt;&gt;"",U7&lt;=TODAY()),"Relance 1 à envoyer",IF(AND(V7&lt;&gt;"",V7&lt;=TODAY()),"Relance 2 à envoyer",IF(AND(O7&lt;&gt;"",O7&lt;=TODAY()),"Rappel à faire",""))))</f>
        <v/>
      </c>
    </row>
    <row r="8" customFormat="false" ht="15" hidden="false" customHeight="false" outlineLevel="0" collapsed="false">
      <c r="A8" s="7" t="n">
        <v>7</v>
      </c>
      <c r="B8" s="8"/>
      <c r="C8" s="8"/>
      <c r="D8" s="7"/>
      <c r="E8" s="7"/>
      <c r="F8" s="8"/>
      <c r="G8" s="7"/>
      <c r="H8" s="7"/>
      <c r="I8" s="8"/>
      <c r="J8" s="9"/>
      <c r="K8" s="9"/>
      <c r="L8" s="7"/>
      <c r="M8" s="7"/>
      <c r="N8" s="8"/>
      <c r="O8" s="9"/>
      <c r="P8" s="9"/>
      <c r="Q8" s="9"/>
      <c r="R8" s="9"/>
      <c r="S8" s="8"/>
      <c r="T8" s="9" t="str">
        <f aca="false">IF(J8="","",EDATE(MAX(J8,K8,P8,Q8,R8),36))</f>
        <v/>
      </c>
      <c r="U8" s="9" t="str">
        <f aca="false">IF(OR(L8&lt;&gt;"Email",K8="",P8&lt;&gt;"",M8="Opposition",M8="Pas intéressé",M8="Client",M8="Rendez-vous pris",M8="Numéro erroné"),"",WORKDAY(K8,5))</f>
        <v/>
      </c>
      <c r="V8" s="9" t="str">
        <f aca="false">IF(OR(P8="",Q8&lt;&gt;"",M8="Opposition",M8="Pas intéressé",M8="Client",M8="Rendez-vous pris",M8="Numéro erroné"),"",WORKDAY(P8,7))</f>
        <v/>
      </c>
      <c r="W8" s="7" t="str">
        <f aca="true">IF(M8="Opposition","Ne pas contacter",IF(AND(U8&lt;&gt;"",U8&lt;=TODAY()),"Relance 1 à envoyer",IF(AND(V8&lt;&gt;"",V8&lt;=TODAY()),"Relance 2 à envoyer",IF(AND(O8&lt;&gt;"",O8&lt;=TODAY()),"Rappel à faire",""))))</f>
        <v/>
      </c>
    </row>
    <row r="9" customFormat="false" ht="15" hidden="false" customHeight="false" outlineLevel="0" collapsed="false">
      <c r="A9" s="7" t="n">
        <v>8</v>
      </c>
      <c r="B9" s="8"/>
      <c r="C9" s="8"/>
      <c r="D9" s="7"/>
      <c r="E9" s="7"/>
      <c r="F9" s="8"/>
      <c r="G9" s="7"/>
      <c r="H9" s="7"/>
      <c r="I9" s="8"/>
      <c r="J9" s="9"/>
      <c r="K9" s="9"/>
      <c r="L9" s="7"/>
      <c r="M9" s="7"/>
      <c r="N9" s="8"/>
      <c r="O9" s="9"/>
      <c r="P9" s="9"/>
      <c r="Q9" s="9"/>
      <c r="R9" s="9"/>
      <c r="S9" s="8"/>
      <c r="T9" s="9" t="str">
        <f aca="false">IF(J9="","",EDATE(MAX(J9,K9,P9,Q9,R9),36))</f>
        <v/>
      </c>
      <c r="U9" s="9" t="str">
        <f aca="false">IF(OR(L9&lt;&gt;"Email",K9="",P9&lt;&gt;"",M9="Opposition",M9="Pas intéressé",M9="Client",M9="Rendez-vous pris",M9="Numéro erroné"),"",WORKDAY(K9,5))</f>
        <v/>
      </c>
      <c r="V9" s="9" t="str">
        <f aca="false">IF(OR(P9="",Q9&lt;&gt;"",M9="Opposition",M9="Pas intéressé",M9="Client",M9="Rendez-vous pris",M9="Numéro erroné"),"",WORKDAY(P9,7))</f>
        <v/>
      </c>
      <c r="W9" s="7" t="str">
        <f aca="true">IF(M9="Opposition","Ne pas contacter",IF(AND(U9&lt;&gt;"",U9&lt;=TODAY()),"Relance 1 à envoyer",IF(AND(V9&lt;&gt;"",V9&lt;=TODAY()),"Relance 2 à envoyer",IF(AND(O9&lt;&gt;"",O9&lt;=TODAY()),"Rappel à faire",""))))</f>
        <v/>
      </c>
    </row>
    <row r="10" customFormat="false" ht="15" hidden="false" customHeight="false" outlineLevel="0" collapsed="false">
      <c r="A10" s="7" t="n">
        <v>9</v>
      </c>
      <c r="B10" s="8"/>
      <c r="C10" s="8"/>
      <c r="D10" s="7"/>
      <c r="E10" s="7"/>
      <c r="F10" s="8"/>
      <c r="G10" s="7"/>
      <c r="H10" s="7"/>
      <c r="I10" s="8"/>
      <c r="J10" s="9"/>
      <c r="K10" s="9"/>
      <c r="L10" s="7"/>
      <c r="M10" s="7"/>
      <c r="N10" s="8"/>
      <c r="O10" s="9"/>
      <c r="P10" s="9"/>
      <c r="Q10" s="9"/>
      <c r="R10" s="9"/>
      <c r="S10" s="8"/>
      <c r="T10" s="9" t="str">
        <f aca="false">IF(J10="","",EDATE(MAX(J10,K10,P10,Q10,R10),36))</f>
        <v/>
      </c>
      <c r="U10" s="9" t="str">
        <f aca="false">IF(OR(L10&lt;&gt;"Email",K10="",P10&lt;&gt;"",M10="Opposition",M10="Pas intéressé",M10="Client",M10="Rendez-vous pris",M10="Numéro erroné"),"",WORKDAY(K10,5))</f>
        <v/>
      </c>
      <c r="V10" s="9" t="str">
        <f aca="false">IF(OR(P10="",Q10&lt;&gt;"",M10="Opposition",M10="Pas intéressé",M10="Client",M10="Rendez-vous pris",M10="Numéro erroné"),"",WORKDAY(P10,7))</f>
        <v/>
      </c>
      <c r="W10" s="7" t="str">
        <f aca="true">IF(M10="Opposition","Ne pas contacter",IF(AND(U10&lt;&gt;"",U10&lt;=TODAY()),"Relance 1 à envoyer",IF(AND(V10&lt;&gt;"",V10&lt;=TODAY()),"Relance 2 à envoyer",IF(AND(O10&lt;&gt;"",O10&lt;=TODAY()),"Rappel à faire",""))))</f>
        <v/>
      </c>
    </row>
    <row r="11" customFormat="false" ht="15" hidden="false" customHeight="false" outlineLevel="0" collapsed="false">
      <c r="A11" s="7" t="n">
        <v>10</v>
      </c>
      <c r="B11" s="8"/>
      <c r="C11" s="8"/>
      <c r="D11" s="7"/>
      <c r="E11" s="7"/>
      <c r="F11" s="8"/>
      <c r="G11" s="7"/>
      <c r="H11" s="7"/>
      <c r="I11" s="8"/>
      <c r="J11" s="9"/>
      <c r="K11" s="9"/>
      <c r="L11" s="7"/>
      <c r="M11" s="7"/>
      <c r="N11" s="8"/>
      <c r="O11" s="9"/>
      <c r="P11" s="9"/>
      <c r="Q11" s="9"/>
      <c r="R11" s="9"/>
      <c r="S11" s="8"/>
      <c r="T11" s="9" t="str">
        <f aca="false">IF(J11="","",EDATE(MAX(J11,K11,P11,Q11,R11),36))</f>
        <v/>
      </c>
      <c r="U11" s="9" t="str">
        <f aca="false">IF(OR(L11&lt;&gt;"Email",K11="",P11&lt;&gt;"",M11="Opposition",M11="Pas intéressé",M11="Client",M11="Rendez-vous pris",M11="Numéro erroné"),"",WORKDAY(K11,5))</f>
        <v/>
      </c>
      <c r="V11" s="9" t="str">
        <f aca="false">IF(OR(P11="",Q11&lt;&gt;"",M11="Opposition",M11="Pas intéressé",M11="Client",M11="Rendez-vous pris",M11="Numéro erroné"),"",WORKDAY(P11,7))</f>
        <v/>
      </c>
      <c r="W11" s="7" t="str">
        <f aca="true">IF(M11="Opposition","Ne pas contacter",IF(AND(U11&lt;&gt;"",U11&lt;=TODAY()),"Relance 1 à envoyer",IF(AND(V11&lt;&gt;"",V11&lt;=TODAY()),"Relance 2 à envoyer",IF(AND(O11&lt;&gt;"",O11&lt;=TODAY()),"Rappel à faire",""))))</f>
        <v/>
      </c>
    </row>
    <row r="12" customFormat="false" ht="15" hidden="false" customHeight="false" outlineLevel="0" collapsed="false">
      <c r="A12" s="7" t="n">
        <v>11</v>
      </c>
      <c r="B12" s="8"/>
      <c r="C12" s="8"/>
      <c r="D12" s="7"/>
      <c r="E12" s="7"/>
      <c r="F12" s="8"/>
      <c r="G12" s="7"/>
      <c r="H12" s="7"/>
      <c r="I12" s="8"/>
      <c r="J12" s="9"/>
      <c r="K12" s="9"/>
      <c r="L12" s="7"/>
      <c r="M12" s="7"/>
      <c r="N12" s="8"/>
      <c r="O12" s="9"/>
      <c r="P12" s="9"/>
      <c r="Q12" s="9"/>
      <c r="R12" s="9"/>
      <c r="S12" s="8"/>
      <c r="T12" s="9" t="str">
        <f aca="false">IF(J12="","",EDATE(MAX(J12,K12,P12,Q12,R12),36))</f>
        <v/>
      </c>
      <c r="U12" s="9" t="str">
        <f aca="false">IF(OR(L12&lt;&gt;"Email",K12="",P12&lt;&gt;"",M12="Opposition",M12="Pas intéressé",M12="Client",M12="Rendez-vous pris",M12="Numéro erroné"),"",WORKDAY(K12,5))</f>
        <v/>
      </c>
      <c r="V12" s="9" t="str">
        <f aca="false">IF(OR(P12="",Q12&lt;&gt;"",M12="Opposition",M12="Pas intéressé",M12="Client",M12="Rendez-vous pris",M12="Numéro erroné"),"",WORKDAY(P12,7))</f>
        <v/>
      </c>
      <c r="W12" s="7" t="str">
        <f aca="true">IF(M12="Opposition","Ne pas contacter",IF(AND(U12&lt;&gt;"",U12&lt;=TODAY()),"Relance 1 à envoyer",IF(AND(V12&lt;&gt;"",V12&lt;=TODAY()),"Relance 2 à envoyer",IF(AND(O12&lt;&gt;"",O12&lt;=TODAY()),"Rappel à faire",""))))</f>
        <v/>
      </c>
    </row>
    <row r="13" customFormat="false" ht="15" hidden="false" customHeight="false" outlineLevel="0" collapsed="false">
      <c r="A13" s="7" t="n">
        <v>12</v>
      </c>
      <c r="B13" s="8"/>
      <c r="C13" s="8"/>
      <c r="D13" s="7"/>
      <c r="E13" s="7"/>
      <c r="F13" s="8"/>
      <c r="G13" s="7"/>
      <c r="H13" s="7"/>
      <c r="I13" s="8"/>
      <c r="J13" s="9"/>
      <c r="K13" s="9"/>
      <c r="L13" s="7"/>
      <c r="M13" s="7"/>
      <c r="N13" s="8"/>
      <c r="O13" s="9"/>
      <c r="P13" s="9"/>
      <c r="Q13" s="9"/>
      <c r="R13" s="9"/>
      <c r="S13" s="8"/>
      <c r="T13" s="9" t="str">
        <f aca="false">IF(J13="","",EDATE(MAX(J13,K13,P13,Q13,R13),36))</f>
        <v/>
      </c>
      <c r="U13" s="9" t="str">
        <f aca="false">IF(OR(L13&lt;&gt;"Email",K13="",P13&lt;&gt;"",M13="Opposition",M13="Pas intéressé",M13="Client",M13="Rendez-vous pris",M13="Numéro erroné"),"",WORKDAY(K13,5))</f>
        <v/>
      </c>
      <c r="V13" s="9" t="str">
        <f aca="false">IF(OR(P13="",Q13&lt;&gt;"",M13="Opposition",M13="Pas intéressé",M13="Client",M13="Rendez-vous pris",M13="Numéro erroné"),"",WORKDAY(P13,7))</f>
        <v/>
      </c>
      <c r="W13" s="7" t="str">
        <f aca="true">IF(M13="Opposition","Ne pas contacter",IF(AND(U13&lt;&gt;"",U13&lt;=TODAY()),"Relance 1 à envoyer",IF(AND(V13&lt;&gt;"",V13&lt;=TODAY()),"Relance 2 à envoyer",IF(AND(O13&lt;&gt;"",O13&lt;=TODAY()),"Rappel à faire",""))))</f>
        <v/>
      </c>
    </row>
    <row r="14" customFormat="false" ht="15" hidden="false" customHeight="false" outlineLevel="0" collapsed="false">
      <c r="A14" s="7" t="n">
        <v>13</v>
      </c>
      <c r="B14" s="8"/>
      <c r="C14" s="8"/>
      <c r="D14" s="7"/>
      <c r="E14" s="7"/>
      <c r="F14" s="8"/>
      <c r="G14" s="7"/>
      <c r="H14" s="7"/>
      <c r="I14" s="8"/>
      <c r="J14" s="9"/>
      <c r="K14" s="9"/>
      <c r="L14" s="7"/>
      <c r="M14" s="7"/>
      <c r="N14" s="8"/>
      <c r="O14" s="9"/>
      <c r="P14" s="9"/>
      <c r="Q14" s="9"/>
      <c r="R14" s="9"/>
      <c r="S14" s="8"/>
      <c r="T14" s="9" t="str">
        <f aca="false">IF(J14="","",EDATE(MAX(J14,K14,P14,Q14,R14),36))</f>
        <v/>
      </c>
      <c r="U14" s="9" t="str">
        <f aca="false">IF(OR(L14&lt;&gt;"Email",K14="",P14&lt;&gt;"",M14="Opposition",M14="Pas intéressé",M14="Client",M14="Rendez-vous pris",M14="Numéro erroné"),"",WORKDAY(K14,5))</f>
        <v/>
      </c>
      <c r="V14" s="9" t="str">
        <f aca="false">IF(OR(P14="",Q14&lt;&gt;"",M14="Opposition",M14="Pas intéressé",M14="Client",M14="Rendez-vous pris",M14="Numéro erroné"),"",WORKDAY(P14,7))</f>
        <v/>
      </c>
      <c r="W14" s="7" t="str">
        <f aca="true">IF(M14="Opposition","Ne pas contacter",IF(AND(U14&lt;&gt;"",U14&lt;=TODAY()),"Relance 1 à envoyer",IF(AND(V14&lt;&gt;"",V14&lt;=TODAY()),"Relance 2 à envoyer",IF(AND(O14&lt;&gt;"",O14&lt;=TODAY()),"Rappel à faire",""))))</f>
        <v/>
      </c>
    </row>
    <row r="15" customFormat="false" ht="15" hidden="false" customHeight="false" outlineLevel="0" collapsed="false">
      <c r="A15" s="7" t="n">
        <v>14</v>
      </c>
      <c r="B15" s="8"/>
      <c r="C15" s="8"/>
      <c r="D15" s="7"/>
      <c r="E15" s="7"/>
      <c r="F15" s="8"/>
      <c r="G15" s="7"/>
      <c r="H15" s="7"/>
      <c r="I15" s="8"/>
      <c r="J15" s="9"/>
      <c r="K15" s="9"/>
      <c r="L15" s="7"/>
      <c r="M15" s="7"/>
      <c r="N15" s="8"/>
      <c r="O15" s="9"/>
      <c r="P15" s="9"/>
      <c r="Q15" s="9"/>
      <c r="R15" s="9"/>
      <c r="S15" s="8"/>
      <c r="T15" s="9" t="str">
        <f aca="false">IF(J15="","",EDATE(MAX(J15,K15,P15,Q15,R15),36))</f>
        <v/>
      </c>
      <c r="U15" s="9" t="str">
        <f aca="false">IF(OR(L15&lt;&gt;"Email",K15="",P15&lt;&gt;"",M15="Opposition",M15="Pas intéressé",M15="Client",M15="Rendez-vous pris",M15="Numéro erroné"),"",WORKDAY(K15,5))</f>
        <v/>
      </c>
      <c r="V15" s="9" t="str">
        <f aca="false">IF(OR(P15="",Q15&lt;&gt;"",M15="Opposition",M15="Pas intéressé",M15="Client",M15="Rendez-vous pris",M15="Numéro erroné"),"",WORKDAY(P15,7))</f>
        <v/>
      </c>
      <c r="W15" s="7" t="str">
        <f aca="true">IF(M15="Opposition","Ne pas contacter",IF(AND(U15&lt;&gt;"",U15&lt;=TODAY()),"Relance 1 à envoyer",IF(AND(V15&lt;&gt;"",V15&lt;=TODAY()),"Relance 2 à envoyer",IF(AND(O15&lt;&gt;"",O15&lt;=TODAY()),"Rappel à faire",""))))</f>
        <v/>
      </c>
    </row>
    <row r="16" customFormat="false" ht="15" hidden="false" customHeight="false" outlineLevel="0" collapsed="false">
      <c r="A16" s="7" t="n">
        <v>15</v>
      </c>
      <c r="B16" s="8"/>
      <c r="C16" s="8"/>
      <c r="D16" s="7"/>
      <c r="E16" s="7"/>
      <c r="F16" s="8"/>
      <c r="G16" s="7"/>
      <c r="H16" s="7"/>
      <c r="I16" s="8"/>
      <c r="J16" s="9"/>
      <c r="K16" s="9"/>
      <c r="L16" s="7"/>
      <c r="M16" s="7"/>
      <c r="N16" s="8"/>
      <c r="O16" s="9"/>
      <c r="P16" s="9"/>
      <c r="Q16" s="9"/>
      <c r="R16" s="9"/>
      <c r="S16" s="8"/>
      <c r="T16" s="9" t="str">
        <f aca="false">IF(J16="","",EDATE(MAX(J16,K16,P16,Q16,R16),36))</f>
        <v/>
      </c>
      <c r="U16" s="9" t="str">
        <f aca="false">IF(OR(L16&lt;&gt;"Email",K16="",P16&lt;&gt;"",M16="Opposition",M16="Pas intéressé",M16="Client",M16="Rendez-vous pris",M16="Numéro erroné"),"",WORKDAY(K16,5))</f>
        <v/>
      </c>
      <c r="V16" s="9" t="str">
        <f aca="false">IF(OR(P16="",Q16&lt;&gt;"",M16="Opposition",M16="Pas intéressé",M16="Client",M16="Rendez-vous pris",M16="Numéro erroné"),"",WORKDAY(P16,7))</f>
        <v/>
      </c>
      <c r="W16" s="7" t="str">
        <f aca="true">IF(M16="Opposition","Ne pas contacter",IF(AND(U16&lt;&gt;"",U16&lt;=TODAY()),"Relance 1 à envoyer",IF(AND(V16&lt;&gt;"",V16&lt;=TODAY()),"Relance 2 à envoyer",IF(AND(O16&lt;&gt;"",O16&lt;=TODAY()),"Rappel à faire",""))))</f>
        <v/>
      </c>
    </row>
    <row r="17" customFormat="false" ht="15" hidden="false" customHeight="false" outlineLevel="0" collapsed="false">
      <c r="A17" s="7" t="n">
        <v>16</v>
      </c>
      <c r="B17" s="8"/>
      <c r="C17" s="8"/>
      <c r="D17" s="7"/>
      <c r="E17" s="7"/>
      <c r="F17" s="8"/>
      <c r="G17" s="7"/>
      <c r="H17" s="7"/>
      <c r="I17" s="8"/>
      <c r="J17" s="9"/>
      <c r="K17" s="9"/>
      <c r="L17" s="7"/>
      <c r="M17" s="7"/>
      <c r="N17" s="8"/>
      <c r="O17" s="9"/>
      <c r="P17" s="9"/>
      <c r="Q17" s="9"/>
      <c r="R17" s="9"/>
      <c r="S17" s="8"/>
      <c r="T17" s="9" t="str">
        <f aca="false">IF(J17="","",EDATE(MAX(J17,K17,P17,Q17,R17),36))</f>
        <v/>
      </c>
      <c r="U17" s="9" t="str">
        <f aca="false">IF(OR(L17&lt;&gt;"Email",K17="",P17&lt;&gt;"",M17="Opposition",M17="Pas intéressé",M17="Client",M17="Rendez-vous pris",M17="Numéro erroné"),"",WORKDAY(K17,5))</f>
        <v/>
      </c>
      <c r="V17" s="9" t="str">
        <f aca="false">IF(OR(P17="",Q17&lt;&gt;"",M17="Opposition",M17="Pas intéressé",M17="Client",M17="Rendez-vous pris",M17="Numéro erroné"),"",WORKDAY(P17,7))</f>
        <v/>
      </c>
      <c r="W17" s="7" t="str">
        <f aca="true">IF(M17="Opposition","Ne pas contacter",IF(AND(U17&lt;&gt;"",U17&lt;=TODAY()),"Relance 1 à envoyer",IF(AND(V17&lt;&gt;"",V17&lt;=TODAY()),"Relance 2 à envoyer",IF(AND(O17&lt;&gt;"",O17&lt;=TODAY()),"Rappel à faire",""))))</f>
        <v/>
      </c>
    </row>
    <row r="18" customFormat="false" ht="15" hidden="false" customHeight="false" outlineLevel="0" collapsed="false">
      <c r="A18" s="7" t="n">
        <v>17</v>
      </c>
      <c r="B18" s="8"/>
      <c r="C18" s="8"/>
      <c r="D18" s="7"/>
      <c r="E18" s="7"/>
      <c r="F18" s="8"/>
      <c r="G18" s="7"/>
      <c r="H18" s="7"/>
      <c r="I18" s="8"/>
      <c r="J18" s="9"/>
      <c r="K18" s="9"/>
      <c r="L18" s="7"/>
      <c r="M18" s="7"/>
      <c r="N18" s="8"/>
      <c r="O18" s="9"/>
      <c r="P18" s="9"/>
      <c r="Q18" s="9"/>
      <c r="R18" s="9"/>
      <c r="S18" s="8"/>
      <c r="T18" s="9" t="str">
        <f aca="false">IF(J18="","",EDATE(MAX(J18,K18,P18,Q18,R18),36))</f>
        <v/>
      </c>
      <c r="U18" s="9" t="str">
        <f aca="false">IF(OR(L18&lt;&gt;"Email",K18="",P18&lt;&gt;"",M18="Opposition",M18="Pas intéressé",M18="Client",M18="Rendez-vous pris",M18="Numéro erroné"),"",WORKDAY(K18,5))</f>
        <v/>
      </c>
      <c r="V18" s="9" t="str">
        <f aca="false">IF(OR(P18="",Q18&lt;&gt;"",M18="Opposition",M18="Pas intéressé",M18="Client",M18="Rendez-vous pris",M18="Numéro erroné"),"",WORKDAY(P18,7))</f>
        <v/>
      </c>
      <c r="W18" s="7" t="str">
        <f aca="true">IF(M18="Opposition","Ne pas contacter",IF(AND(U18&lt;&gt;"",U18&lt;=TODAY()),"Relance 1 à envoyer",IF(AND(V18&lt;&gt;"",V18&lt;=TODAY()),"Relance 2 à envoyer",IF(AND(O18&lt;&gt;"",O18&lt;=TODAY()),"Rappel à faire",""))))</f>
        <v/>
      </c>
    </row>
    <row r="19" customFormat="false" ht="15" hidden="false" customHeight="false" outlineLevel="0" collapsed="false">
      <c r="A19" s="7" t="n">
        <v>18</v>
      </c>
      <c r="B19" s="8"/>
      <c r="C19" s="8"/>
      <c r="D19" s="7"/>
      <c r="E19" s="7"/>
      <c r="F19" s="8"/>
      <c r="G19" s="7"/>
      <c r="H19" s="7"/>
      <c r="I19" s="8"/>
      <c r="J19" s="9"/>
      <c r="K19" s="9"/>
      <c r="L19" s="7"/>
      <c r="M19" s="7"/>
      <c r="N19" s="8"/>
      <c r="O19" s="9"/>
      <c r="P19" s="9"/>
      <c r="Q19" s="9"/>
      <c r="R19" s="9"/>
      <c r="S19" s="8"/>
      <c r="T19" s="9" t="str">
        <f aca="false">IF(J19="","",EDATE(MAX(J19,K19,P19,Q19,R19),36))</f>
        <v/>
      </c>
      <c r="U19" s="9" t="str">
        <f aca="false">IF(OR(L19&lt;&gt;"Email",K19="",P19&lt;&gt;"",M19="Opposition",M19="Pas intéressé",M19="Client",M19="Rendez-vous pris",M19="Numéro erroné"),"",WORKDAY(K19,5))</f>
        <v/>
      </c>
      <c r="V19" s="9" t="str">
        <f aca="false">IF(OR(P19="",Q19&lt;&gt;"",M19="Opposition",M19="Pas intéressé",M19="Client",M19="Rendez-vous pris",M19="Numéro erroné"),"",WORKDAY(P19,7))</f>
        <v/>
      </c>
      <c r="W19" s="7" t="str">
        <f aca="true">IF(M19="Opposition","Ne pas contacter",IF(AND(U19&lt;&gt;"",U19&lt;=TODAY()),"Relance 1 à envoyer",IF(AND(V19&lt;&gt;"",V19&lt;=TODAY()),"Relance 2 à envoyer",IF(AND(O19&lt;&gt;"",O19&lt;=TODAY()),"Rappel à faire",""))))</f>
        <v/>
      </c>
    </row>
    <row r="20" customFormat="false" ht="15" hidden="false" customHeight="false" outlineLevel="0" collapsed="false">
      <c r="A20" s="7" t="n">
        <v>19</v>
      </c>
      <c r="B20" s="8"/>
      <c r="C20" s="8"/>
      <c r="D20" s="7"/>
      <c r="E20" s="7"/>
      <c r="F20" s="8"/>
      <c r="G20" s="7"/>
      <c r="H20" s="7"/>
      <c r="I20" s="8"/>
      <c r="J20" s="9"/>
      <c r="K20" s="9"/>
      <c r="L20" s="7"/>
      <c r="M20" s="7"/>
      <c r="N20" s="8"/>
      <c r="O20" s="9"/>
      <c r="P20" s="9"/>
      <c r="Q20" s="9"/>
      <c r="R20" s="9"/>
      <c r="S20" s="8"/>
      <c r="T20" s="9" t="str">
        <f aca="false">IF(J20="","",EDATE(MAX(J20,K20,P20,Q20,R20),36))</f>
        <v/>
      </c>
      <c r="U20" s="9" t="str">
        <f aca="false">IF(OR(L20&lt;&gt;"Email",K20="",P20&lt;&gt;"",M20="Opposition",M20="Pas intéressé",M20="Client",M20="Rendez-vous pris",M20="Numéro erroné"),"",WORKDAY(K20,5))</f>
        <v/>
      </c>
      <c r="V20" s="9" t="str">
        <f aca="false">IF(OR(P20="",Q20&lt;&gt;"",M20="Opposition",M20="Pas intéressé",M20="Client",M20="Rendez-vous pris",M20="Numéro erroné"),"",WORKDAY(P20,7))</f>
        <v/>
      </c>
      <c r="W20" s="7" t="str">
        <f aca="true">IF(M20="Opposition","Ne pas contacter",IF(AND(U20&lt;&gt;"",U20&lt;=TODAY()),"Relance 1 à envoyer",IF(AND(V20&lt;&gt;"",V20&lt;=TODAY()),"Relance 2 à envoyer",IF(AND(O20&lt;&gt;"",O20&lt;=TODAY()),"Rappel à faire",""))))</f>
        <v/>
      </c>
    </row>
    <row r="21" customFormat="false" ht="15" hidden="false" customHeight="false" outlineLevel="0" collapsed="false">
      <c r="A21" s="7" t="n">
        <v>20</v>
      </c>
      <c r="B21" s="8"/>
      <c r="C21" s="8"/>
      <c r="D21" s="7"/>
      <c r="E21" s="7"/>
      <c r="F21" s="8"/>
      <c r="G21" s="7"/>
      <c r="H21" s="7"/>
      <c r="I21" s="8"/>
      <c r="J21" s="9"/>
      <c r="K21" s="9"/>
      <c r="L21" s="7"/>
      <c r="M21" s="7"/>
      <c r="N21" s="8"/>
      <c r="O21" s="9"/>
      <c r="P21" s="9"/>
      <c r="Q21" s="9"/>
      <c r="R21" s="9"/>
      <c r="S21" s="8"/>
      <c r="T21" s="9" t="str">
        <f aca="false">IF(J21="","",EDATE(MAX(J21,K21,P21,Q21,R21),36))</f>
        <v/>
      </c>
      <c r="U21" s="9" t="str">
        <f aca="false">IF(OR(L21&lt;&gt;"Email",K21="",P21&lt;&gt;"",M21="Opposition",M21="Pas intéressé",M21="Client",M21="Rendez-vous pris",M21="Numéro erroné"),"",WORKDAY(K21,5))</f>
        <v/>
      </c>
      <c r="V21" s="9" t="str">
        <f aca="false">IF(OR(P21="",Q21&lt;&gt;"",M21="Opposition",M21="Pas intéressé",M21="Client",M21="Rendez-vous pris",M21="Numéro erroné"),"",WORKDAY(P21,7))</f>
        <v/>
      </c>
      <c r="W21" s="7" t="str">
        <f aca="true">IF(M21="Opposition","Ne pas contacter",IF(AND(U21&lt;&gt;"",U21&lt;=TODAY()),"Relance 1 à envoyer",IF(AND(V21&lt;&gt;"",V21&lt;=TODAY()),"Relance 2 à envoyer",IF(AND(O21&lt;&gt;"",O21&lt;=TODAY()),"Rappel à faire",""))))</f>
        <v/>
      </c>
    </row>
    <row r="22" customFormat="false" ht="15" hidden="false" customHeight="false" outlineLevel="0" collapsed="false">
      <c r="A22" s="7" t="n">
        <v>21</v>
      </c>
      <c r="B22" s="8"/>
      <c r="C22" s="8"/>
      <c r="D22" s="7"/>
      <c r="E22" s="7"/>
      <c r="F22" s="8"/>
      <c r="G22" s="7"/>
      <c r="H22" s="7"/>
      <c r="I22" s="8"/>
      <c r="J22" s="9"/>
      <c r="K22" s="9"/>
      <c r="L22" s="7"/>
      <c r="M22" s="7"/>
      <c r="N22" s="8"/>
      <c r="O22" s="9"/>
      <c r="P22" s="9"/>
      <c r="Q22" s="9"/>
      <c r="R22" s="9"/>
      <c r="S22" s="8"/>
      <c r="T22" s="9" t="str">
        <f aca="false">IF(J22="","",EDATE(MAX(J22,K22,P22,Q22,R22),36))</f>
        <v/>
      </c>
      <c r="U22" s="9" t="str">
        <f aca="false">IF(OR(L22&lt;&gt;"Email",K22="",P22&lt;&gt;"",M22="Opposition",M22="Pas intéressé",M22="Client",M22="Rendez-vous pris",M22="Numéro erroné"),"",WORKDAY(K22,5))</f>
        <v/>
      </c>
      <c r="V22" s="9" t="str">
        <f aca="false">IF(OR(P22="",Q22&lt;&gt;"",M22="Opposition",M22="Pas intéressé",M22="Client",M22="Rendez-vous pris",M22="Numéro erroné"),"",WORKDAY(P22,7))</f>
        <v/>
      </c>
      <c r="W22" s="7" t="str">
        <f aca="true">IF(M22="Opposition","Ne pas contacter",IF(AND(U22&lt;&gt;"",U22&lt;=TODAY()),"Relance 1 à envoyer",IF(AND(V22&lt;&gt;"",V22&lt;=TODAY()),"Relance 2 à envoyer",IF(AND(O22&lt;&gt;"",O22&lt;=TODAY()),"Rappel à faire",""))))</f>
        <v/>
      </c>
    </row>
    <row r="23" customFormat="false" ht="15" hidden="false" customHeight="false" outlineLevel="0" collapsed="false">
      <c r="A23" s="7" t="n">
        <v>22</v>
      </c>
      <c r="B23" s="8"/>
      <c r="C23" s="8"/>
      <c r="D23" s="7"/>
      <c r="E23" s="7"/>
      <c r="F23" s="8"/>
      <c r="G23" s="7"/>
      <c r="H23" s="7"/>
      <c r="I23" s="8"/>
      <c r="J23" s="9"/>
      <c r="K23" s="9"/>
      <c r="L23" s="7"/>
      <c r="M23" s="7"/>
      <c r="N23" s="8"/>
      <c r="O23" s="9"/>
      <c r="P23" s="9"/>
      <c r="Q23" s="9"/>
      <c r="R23" s="9"/>
      <c r="S23" s="8"/>
      <c r="T23" s="9" t="str">
        <f aca="false">IF(J23="","",EDATE(MAX(J23,K23,P23,Q23,R23),36))</f>
        <v/>
      </c>
      <c r="U23" s="9" t="str">
        <f aca="false">IF(OR(L23&lt;&gt;"Email",K23="",P23&lt;&gt;"",M23="Opposition",M23="Pas intéressé",M23="Client",M23="Rendez-vous pris",M23="Numéro erroné"),"",WORKDAY(K23,5))</f>
        <v/>
      </c>
      <c r="V23" s="9" t="str">
        <f aca="false">IF(OR(P23="",Q23&lt;&gt;"",M23="Opposition",M23="Pas intéressé",M23="Client",M23="Rendez-vous pris",M23="Numéro erroné"),"",WORKDAY(P23,7))</f>
        <v/>
      </c>
      <c r="W23" s="7" t="str">
        <f aca="true">IF(M23="Opposition","Ne pas contacter",IF(AND(U23&lt;&gt;"",U23&lt;=TODAY()),"Relance 1 à envoyer",IF(AND(V23&lt;&gt;"",V23&lt;=TODAY()),"Relance 2 à envoyer",IF(AND(O23&lt;&gt;"",O23&lt;=TODAY()),"Rappel à faire",""))))</f>
        <v/>
      </c>
    </row>
    <row r="24" customFormat="false" ht="15" hidden="false" customHeight="false" outlineLevel="0" collapsed="false">
      <c r="A24" s="7" t="n">
        <v>23</v>
      </c>
      <c r="B24" s="8"/>
      <c r="C24" s="8"/>
      <c r="D24" s="7"/>
      <c r="E24" s="7"/>
      <c r="F24" s="8"/>
      <c r="G24" s="7"/>
      <c r="H24" s="7"/>
      <c r="I24" s="8"/>
      <c r="J24" s="9"/>
      <c r="K24" s="9"/>
      <c r="L24" s="7"/>
      <c r="M24" s="7"/>
      <c r="N24" s="8"/>
      <c r="O24" s="9"/>
      <c r="P24" s="9"/>
      <c r="Q24" s="9"/>
      <c r="R24" s="9"/>
      <c r="S24" s="8"/>
      <c r="T24" s="9" t="str">
        <f aca="false">IF(J24="","",EDATE(MAX(J24,K24,P24,Q24,R24),36))</f>
        <v/>
      </c>
      <c r="U24" s="9" t="str">
        <f aca="false">IF(OR(L24&lt;&gt;"Email",K24="",P24&lt;&gt;"",M24="Opposition",M24="Pas intéressé",M24="Client",M24="Rendez-vous pris",M24="Numéro erroné"),"",WORKDAY(K24,5))</f>
        <v/>
      </c>
      <c r="V24" s="9" t="str">
        <f aca="false">IF(OR(P24="",Q24&lt;&gt;"",M24="Opposition",M24="Pas intéressé",M24="Client",M24="Rendez-vous pris",M24="Numéro erroné"),"",WORKDAY(P24,7))</f>
        <v/>
      </c>
      <c r="W24" s="7" t="str">
        <f aca="true">IF(M24="Opposition","Ne pas contacter",IF(AND(U24&lt;&gt;"",U24&lt;=TODAY()),"Relance 1 à envoyer",IF(AND(V24&lt;&gt;"",V24&lt;=TODAY()),"Relance 2 à envoyer",IF(AND(O24&lt;&gt;"",O24&lt;=TODAY()),"Rappel à faire",""))))</f>
        <v/>
      </c>
    </row>
    <row r="25" customFormat="false" ht="15" hidden="false" customHeight="false" outlineLevel="0" collapsed="false">
      <c r="A25" s="7" t="n">
        <v>24</v>
      </c>
      <c r="B25" s="8"/>
      <c r="C25" s="8"/>
      <c r="D25" s="7"/>
      <c r="E25" s="7"/>
      <c r="F25" s="8"/>
      <c r="G25" s="7"/>
      <c r="H25" s="7"/>
      <c r="I25" s="8"/>
      <c r="J25" s="9"/>
      <c r="K25" s="9"/>
      <c r="L25" s="7"/>
      <c r="M25" s="7"/>
      <c r="N25" s="8"/>
      <c r="O25" s="9"/>
      <c r="P25" s="9"/>
      <c r="Q25" s="9"/>
      <c r="R25" s="9"/>
      <c r="S25" s="8"/>
      <c r="T25" s="9" t="str">
        <f aca="false">IF(J25="","",EDATE(MAX(J25,K25,P25,Q25,R25),36))</f>
        <v/>
      </c>
      <c r="U25" s="9" t="str">
        <f aca="false">IF(OR(L25&lt;&gt;"Email",K25="",P25&lt;&gt;"",M25="Opposition",M25="Pas intéressé",M25="Client",M25="Rendez-vous pris",M25="Numéro erroné"),"",WORKDAY(K25,5))</f>
        <v/>
      </c>
      <c r="V25" s="9" t="str">
        <f aca="false">IF(OR(P25="",Q25&lt;&gt;"",M25="Opposition",M25="Pas intéressé",M25="Client",M25="Rendez-vous pris",M25="Numéro erroné"),"",WORKDAY(P25,7))</f>
        <v/>
      </c>
      <c r="W25" s="7" t="str">
        <f aca="true">IF(M25="Opposition","Ne pas contacter",IF(AND(U25&lt;&gt;"",U25&lt;=TODAY()),"Relance 1 à envoyer",IF(AND(V25&lt;&gt;"",V25&lt;=TODAY()),"Relance 2 à envoyer",IF(AND(O25&lt;&gt;"",O25&lt;=TODAY()),"Rappel à faire",""))))</f>
        <v/>
      </c>
    </row>
    <row r="26" customFormat="false" ht="15" hidden="false" customHeight="false" outlineLevel="0" collapsed="false">
      <c r="A26" s="7" t="n">
        <v>25</v>
      </c>
      <c r="B26" s="8"/>
      <c r="C26" s="8"/>
      <c r="D26" s="7"/>
      <c r="E26" s="7"/>
      <c r="F26" s="8"/>
      <c r="G26" s="7"/>
      <c r="H26" s="7"/>
      <c r="I26" s="8"/>
      <c r="J26" s="9"/>
      <c r="K26" s="9"/>
      <c r="L26" s="7"/>
      <c r="M26" s="7"/>
      <c r="N26" s="8"/>
      <c r="O26" s="9"/>
      <c r="P26" s="9"/>
      <c r="Q26" s="9"/>
      <c r="R26" s="9"/>
      <c r="S26" s="8"/>
      <c r="T26" s="9" t="str">
        <f aca="false">IF(J26="","",EDATE(MAX(J26,K26,P26,Q26,R26),36))</f>
        <v/>
      </c>
      <c r="U26" s="9" t="str">
        <f aca="false">IF(OR(L26&lt;&gt;"Email",K26="",P26&lt;&gt;"",M26="Opposition",M26="Pas intéressé",M26="Client",M26="Rendez-vous pris",M26="Numéro erroné"),"",WORKDAY(K26,5))</f>
        <v/>
      </c>
      <c r="V26" s="9" t="str">
        <f aca="false">IF(OR(P26="",Q26&lt;&gt;"",M26="Opposition",M26="Pas intéressé",M26="Client",M26="Rendez-vous pris",M26="Numéro erroné"),"",WORKDAY(P26,7))</f>
        <v/>
      </c>
      <c r="W26" s="7" t="str">
        <f aca="true">IF(M26="Opposition","Ne pas contacter",IF(AND(U26&lt;&gt;"",U26&lt;=TODAY()),"Relance 1 à envoyer",IF(AND(V26&lt;&gt;"",V26&lt;=TODAY()),"Relance 2 à envoyer",IF(AND(O26&lt;&gt;"",O26&lt;=TODAY()),"Rappel à faire",""))))</f>
        <v/>
      </c>
    </row>
    <row r="27" customFormat="false" ht="15" hidden="false" customHeight="false" outlineLevel="0" collapsed="false">
      <c r="A27" s="7" t="n">
        <v>26</v>
      </c>
      <c r="B27" s="8"/>
      <c r="C27" s="8"/>
      <c r="D27" s="7"/>
      <c r="E27" s="7"/>
      <c r="F27" s="8"/>
      <c r="G27" s="7"/>
      <c r="H27" s="7"/>
      <c r="I27" s="8"/>
      <c r="J27" s="9"/>
      <c r="K27" s="9"/>
      <c r="L27" s="7"/>
      <c r="M27" s="7"/>
      <c r="N27" s="8"/>
      <c r="O27" s="9"/>
      <c r="P27" s="9"/>
      <c r="Q27" s="9"/>
      <c r="R27" s="9"/>
      <c r="S27" s="8"/>
      <c r="T27" s="9" t="str">
        <f aca="false">IF(J27="","",EDATE(MAX(J27,K27,P27,Q27,R27),36))</f>
        <v/>
      </c>
      <c r="U27" s="9" t="str">
        <f aca="false">IF(OR(L27&lt;&gt;"Email",K27="",P27&lt;&gt;"",M27="Opposition",M27="Pas intéressé",M27="Client",M27="Rendez-vous pris",M27="Numéro erroné"),"",WORKDAY(K27,5))</f>
        <v/>
      </c>
      <c r="V27" s="9" t="str">
        <f aca="false">IF(OR(P27="",Q27&lt;&gt;"",M27="Opposition",M27="Pas intéressé",M27="Client",M27="Rendez-vous pris",M27="Numéro erroné"),"",WORKDAY(P27,7))</f>
        <v/>
      </c>
      <c r="W27" s="7" t="str">
        <f aca="true">IF(M27="Opposition","Ne pas contacter",IF(AND(U27&lt;&gt;"",U27&lt;=TODAY()),"Relance 1 à envoyer",IF(AND(V27&lt;&gt;"",V27&lt;=TODAY()),"Relance 2 à envoyer",IF(AND(O27&lt;&gt;"",O27&lt;=TODAY()),"Rappel à faire",""))))</f>
        <v/>
      </c>
    </row>
    <row r="28" customFormat="false" ht="15" hidden="false" customHeight="false" outlineLevel="0" collapsed="false">
      <c r="A28" s="7" t="n">
        <v>27</v>
      </c>
      <c r="B28" s="8"/>
      <c r="C28" s="8"/>
      <c r="D28" s="7"/>
      <c r="E28" s="7"/>
      <c r="F28" s="8"/>
      <c r="G28" s="7"/>
      <c r="H28" s="7"/>
      <c r="I28" s="8"/>
      <c r="J28" s="9"/>
      <c r="K28" s="9"/>
      <c r="L28" s="7"/>
      <c r="M28" s="7"/>
      <c r="N28" s="8"/>
      <c r="O28" s="9"/>
      <c r="P28" s="9"/>
      <c r="Q28" s="9"/>
      <c r="R28" s="9"/>
      <c r="S28" s="8"/>
      <c r="T28" s="9" t="str">
        <f aca="false">IF(J28="","",EDATE(MAX(J28,K28,P28,Q28,R28),36))</f>
        <v/>
      </c>
      <c r="U28" s="9" t="str">
        <f aca="false">IF(OR(L28&lt;&gt;"Email",K28="",P28&lt;&gt;"",M28="Opposition",M28="Pas intéressé",M28="Client",M28="Rendez-vous pris",M28="Numéro erroné"),"",WORKDAY(K28,5))</f>
        <v/>
      </c>
      <c r="V28" s="9" t="str">
        <f aca="false">IF(OR(P28="",Q28&lt;&gt;"",M28="Opposition",M28="Pas intéressé",M28="Client",M28="Rendez-vous pris",M28="Numéro erroné"),"",WORKDAY(P28,7))</f>
        <v/>
      </c>
      <c r="W28" s="7" t="str">
        <f aca="true">IF(M28="Opposition","Ne pas contacter",IF(AND(U28&lt;&gt;"",U28&lt;=TODAY()),"Relance 1 à envoyer",IF(AND(V28&lt;&gt;"",V28&lt;=TODAY()),"Relance 2 à envoyer",IF(AND(O28&lt;&gt;"",O28&lt;=TODAY()),"Rappel à faire",""))))</f>
        <v/>
      </c>
    </row>
    <row r="29" customFormat="false" ht="15" hidden="false" customHeight="false" outlineLevel="0" collapsed="false">
      <c r="A29" s="7" t="n">
        <v>28</v>
      </c>
      <c r="B29" s="8"/>
      <c r="C29" s="8"/>
      <c r="D29" s="7"/>
      <c r="E29" s="7"/>
      <c r="F29" s="8"/>
      <c r="G29" s="7"/>
      <c r="H29" s="7"/>
      <c r="I29" s="8"/>
      <c r="J29" s="9"/>
      <c r="K29" s="9"/>
      <c r="L29" s="7"/>
      <c r="M29" s="7"/>
      <c r="N29" s="8"/>
      <c r="O29" s="9"/>
      <c r="P29" s="9"/>
      <c r="Q29" s="9"/>
      <c r="R29" s="9"/>
      <c r="S29" s="8"/>
      <c r="T29" s="9" t="str">
        <f aca="false">IF(J29="","",EDATE(MAX(J29,K29,P29,Q29,R29),36))</f>
        <v/>
      </c>
      <c r="U29" s="9" t="str">
        <f aca="false">IF(OR(L29&lt;&gt;"Email",K29="",P29&lt;&gt;"",M29="Opposition",M29="Pas intéressé",M29="Client",M29="Rendez-vous pris",M29="Numéro erroné"),"",WORKDAY(K29,5))</f>
        <v/>
      </c>
      <c r="V29" s="9" t="str">
        <f aca="false">IF(OR(P29="",Q29&lt;&gt;"",M29="Opposition",M29="Pas intéressé",M29="Client",M29="Rendez-vous pris",M29="Numéro erroné"),"",WORKDAY(P29,7))</f>
        <v/>
      </c>
      <c r="W29" s="7" t="str">
        <f aca="true">IF(M29="Opposition","Ne pas contacter",IF(AND(U29&lt;&gt;"",U29&lt;=TODAY()),"Relance 1 à envoyer",IF(AND(V29&lt;&gt;"",V29&lt;=TODAY()),"Relance 2 à envoyer",IF(AND(O29&lt;&gt;"",O29&lt;=TODAY()),"Rappel à faire",""))))</f>
        <v/>
      </c>
    </row>
    <row r="30" customFormat="false" ht="15" hidden="false" customHeight="false" outlineLevel="0" collapsed="false">
      <c r="A30" s="7" t="n">
        <v>29</v>
      </c>
      <c r="B30" s="8"/>
      <c r="C30" s="8"/>
      <c r="D30" s="7"/>
      <c r="E30" s="7"/>
      <c r="F30" s="8"/>
      <c r="G30" s="7"/>
      <c r="H30" s="7"/>
      <c r="I30" s="8"/>
      <c r="J30" s="9"/>
      <c r="K30" s="9"/>
      <c r="L30" s="7"/>
      <c r="M30" s="7"/>
      <c r="N30" s="8"/>
      <c r="O30" s="9"/>
      <c r="P30" s="9"/>
      <c r="Q30" s="9"/>
      <c r="R30" s="9"/>
      <c r="S30" s="8"/>
      <c r="T30" s="9" t="str">
        <f aca="false">IF(J30="","",EDATE(MAX(J30,K30,P30,Q30,R30),36))</f>
        <v/>
      </c>
      <c r="U30" s="9" t="str">
        <f aca="false">IF(OR(L30&lt;&gt;"Email",K30="",P30&lt;&gt;"",M30="Opposition",M30="Pas intéressé",M30="Client",M30="Rendez-vous pris",M30="Numéro erroné"),"",WORKDAY(K30,5))</f>
        <v/>
      </c>
      <c r="V30" s="9" t="str">
        <f aca="false">IF(OR(P30="",Q30&lt;&gt;"",M30="Opposition",M30="Pas intéressé",M30="Client",M30="Rendez-vous pris",M30="Numéro erroné"),"",WORKDAY(P30,7))</f>
        <v/>
      </c>
      <c r="W30" s="7" t="str">
        <f aca="true">IF(M30="Opposition","Ne pas contacter",IF(AND(U30&lt;&gt;"",U30&lt;=TODAY()),"Relance 1 à envoyer",IF(AND(V30&lt;&gt;"",V30&lt;=TODAY()),"Relance 2 à envoyer",IF(AND(O30&lt;&gt;"",O30&lt;=TODAY()),"Rappel à faire",""))))</f>
        <v/>
      </c>
    </row>
    <row r="31" customFormat="false" ht="15" hidden="false" customHeight="false" outlineLevel="0" collapsed="false">
      <c r="A31" s="7" t="n">
        <v>30</v>
      </c>
      <c r="B31" s="8"/>
      <c r="C31" s="8"/>
      <c r="D31" s="7"/>
      <c r="E31" s="7"/>
      <c r="F31" s="8"/>
      <c r="G31" s="7"/>
      <c r="H31" s="7"/>
      <c r="I31" s="8"/>
      <c r="J31" s="9"/>
      <c r="K31" s="9"/>
      <c r="L31" s="7"/>
      <c r="M31" s="7"/>
      <c r="N31" s="8"/>
      <c r="O31" s="9"/>
      <c r="P31" s="9"/>
      <c r="Q31" s="9"/>
      <c r="R31" s="9"/>
      <c r="S31" s="8"/>
      <c r="T31" s="9" t="str">
        <f aca="false">IF(J31="","",EDATE(MAX(J31,K31,P31,Q31,R31),36))</f>
        <v/>
      </c>
      <c r="U31" s="9" t="str">
        <f aca="false">IF(OR(L31&lt;&gt;"Email",K31="",P31&lt;&gt;"",M31="Opposition",M31="Pas intéressé",M31="Client",M31="Rendez-vous pris",M31="Numéro erroné"),"",WORKDAY(K31,5))</f>
        <v/>
      </c>
      <c r="V31" s="9" t="str">
        <f aca="false">IF(OR(P31="",Q31&lt;&gt;"",M31="Opposition",M31="Pas intéressé",M31="Client",M31="Rendez-vous pris",M31="Numéro erroné"),"",WORKDAY(P31,7))</f>
        <v/>
      </c>
      <c r="W31" s="7" t="str">
        <f aca="true">IF(M31="Opposition","Ne pas contacter",IF(AND(U31&lt;&gt;"",U31&lt;=TODAY()),"Relance 1 à envoyer",IF(AND(V31&lt;&gt;"",V31&lt;=TODAY()),"Relance 2 à envoyer",IF(AND(O31&lt;&gt;"",O31&lt;=TODAY()),"Rappel à faire",""))))</f>
        <v/>
      </c>
    </row>
    <row r="32" customFormat="false" ht="15" hidden="false" customHeight="false" outlineLevel="0" collapsed="false">
      <c r="A32" s="7" t="n">
        <v>31</v>
      </c>
      <c r="B32" s="8"/>
      <c r="C32" s="8"/>
      <c r="D32" s="7"/>
      <c r="E32" s="7"/>
      <c r="F32" s="8"/>
      <c r="G32" s="7"/>
      <c r="H32" s="7"/>
      <c r="I32" s="8"/>
      <c r="J32" s="9"/>
      <c r="K32" s="9"/>
      <c r="L32" s="7"/>
      <c r="M32" s="7"/>
      <c r="N32" s="8"/>
      <c r="O32" s="9"/>
      <c r="P32" s="9"/>
      <c r="Q32" s="9"/>
      <c r="R32" s="9"/>
      <c r="S32" s="8"/>
      <c r="T32" s="9" t="str">
        <f aca="false">IF(J32="","",EDATE(MAX(J32,K32,P32,Q32,R32),36))</f>
        <v/>
      </c>
      <c r="U32" s="9" t="str">
        <f aca="false">IF(OR(L32&lt;&gt;"Email",K32="",P32&lt;&gt;"",M32="Opposition",M32="Pas intéressé",M32="Client",M32="Rendez-vous pris",M32="Numéro erroné"),"",WORKDAY(K32,5))</f>
        <v/>
      </c>
      <c r="V32" s="9" t="str">
        <f aca="false">IF(OR(P32="",Q32&lt;&gt;"",M32="Opposition",M32="Pas intéressé",M32="Client",M32="Rendez-vous pris",M32="Numéro erroné"),"",WORKDAY(P32,7))</f>
        <v/>
      </c>
      <c r="W32" s="7" t="str">
        <f aca="true">IF(M32="Opposition","Ne pas contacter",IF(AND(U32&lt;&gt;"",U32&lt;=TODAY()),"Relance 1 à envoyer",IF(AND(V32&lt;&gt;"",V32&lt;=TODAY()),"Relance 2 à envoyer",IF(AND(O32&lt;&gt;"",O32&lt;=TODAY()),"Rappel à faire",""))))</f>
        <v/>
      </c>
    </row>
    <row r="33" customFormat="false" ht="15" hidden="false" customHeight="false" outlineLevel="0" collapsed="false">
      <c r="A33" s="7" t="n">
        <v>32</v>
      </c>
      <c r="B33" s="8"/>
      <c r="C33" s="8"/>
      <c r="D33" s="7"/>
      <c r="E33" s="7"/>
      <c r="F33" s="8"/>
      <c r="G33" s="7"/>
      <c r="H33" s="7"/>
      <c r="I33" s="8"/>
      <c r="J33" s="9"/>
      <c r="K33" s="9"/>
      <c r="L33" s="7"/>
      <c r="M33" s="7"/>
      <c r="N33" s="8"/>
      <c r="O33" s="9"/>
      <c r="P33" s="9"/>
      <c r="Q33" s="9"/>
      <c r="R33" s="9"/>
      <c r="S33" s="8"/>
      <c r="T33" s="9" t="str">
        <f aca="false">IF(J33="","",EDATE(MAX(J33,K33,P33,Q33,R33),36))</f>
        <v/>
      </c>
      <c r="U33" s="9" t="str">
        <f aca="false">IF(OR(L33&lt;&gt;"Email",K33="",P33&lt;&gt;"",M33="Opposition",M33="Pas intéressé",M33="Client",M33="Rendez-vous pris",M33="Numéro erroné"),"",WORKDAY(K33,5))</f>
        <v/>
      </c>
      <c r="V33" s="9" t="str">
        <f aca="false">IF(OR(P33="",Q33&lt;&gt;"",M33="Opposition",M33="Pas intéressé",M33="Client",M33="Rendez-vous pris",M33="Numéro erroné"),"",WORKDAY(P33,7))</f>
        <v/>
      </c>
      <c r="W33" s="7" t="str">
        <f aca="true">IF(M33="Opposition","Ne pas contacter",IF(AND(U33&lt;&gt;"",U33&lt;=TODAY()),"Relance 1 à envoyer",IF(AND(V33&lt;&gt;"",V33&lt;=TODAY()),"Relance 2 à envoyer",IF(AND(O33&lt;&gt;"",O33&lt;=TODAY()),"Rappel à faire",""))))</f>
        <v/>
      </c>
    </row>
    <row r="34" customFormat="false" ht="15" hidden="false" customHeight="false" outlineLevel="0" collapsed="false">
      <c r="A34" s="7" t="n">
        <v>33</v>
      </c>
      <c r="B34" s="8"/>
      <c r="C34" s="8"/>
      <c r="D34" s="7"/>
      <c r="E34" s="7"/>
      <c r="F34" s="8"/>
      <c r="G34" s="7"/>
      <c r="H34" s="7"/>
      <c r="I34" s="8"/>
      <c r="J34" s="9"/>
      <c r="K34" s="9"/>
      <c r="L34" s="7"/>
      <c r="M34" s="7"/>
      <c r="N34" s="8"/>
      <c r="O34" s="9"/>
      <c r="P34" s="9"/>
      <c r="Q34" s="9"/>
      <c r="R34" s="9"/>
      <c r="S34" s="8"/>
      <c r="T34" s="9" t="str">
        <f aca="false">IF(J34="","",EDATE(MAX(J34,K34,P34,Q34,R34),36))</f>
        <v/>
      </c>
      <c r="U34" s="9" t="str">
        <f aca="false">IF(OR(L34&lt;&gt;"Email",K34="",P34&lt;&gt;"",M34="Opposition",M34="Pas intéressé",M34="Client",M34="Rendez-vous pris",M34="Numéro erroné"),"",WORKDAY(K34,5))</f>
        <v/>
      </c>
      <c r="V34" s="9" t="str">
        <f aca="false">IF(OR(P34="",Q34&lt;&gt;"",M34="Opposition",M34="Pas intéressé",M34="Client",M34="Rendez-vous pris",M34="Numéro erroné"),"",WORKDAY(P34,7))</f>
        <v/>
      </c>
      <c r="W34" s="7" t="str">
        <f aca="true">IF(M34="Opposition","Ne pas contacter",IF(AND(U34&lt;&gt;"",U34&lt;=TODAY()),"Relance 1 à envoyer",IF(AND(V34&lt;&gt;"",V34&lt;=TODAY()),"Relance 2 à envoyer",IF(AND(O34&lt;&gt;"",O34&lt;=TODAY()),"Rappel à faire",""))))</f>
        <v/>
      </c>
    </row>
    <row r="35" customFormat="false" ht="15" hidden="false" customHeight="false" outlineLevel="0" collapsed="false">
      <c r="A35" s="7" t="n">
        <v>34</v>
      </c>
      <c r="B35" s="8"/>
      <c r="C35" s="8"/>
      <c r="D35" s="7"/>
      <c r="E35" s="7"/>
      <c r="F35" s="8"/>
      <c r="G35" s="7"/>
      <c r="H35" s="7"/>
      <c r="I35" s="8"/>
      <c r="J35" s="9"/>
      <c r="K35" s="9"/>
      <c r="L35" s="7"/>
      <c r="M35" s="7"/>
      <c r="N35" s="8"/>
      <c r="O35" s="9"/>
      <c r="P35" s="9"/>
      <c r="Q35" s="9"/>
      <c r="R35" s="9"/>
      <c r="S35" s="8"/>
      <c r="T35" s="9" t="str">
        <f aca="false">IF(J35="","",EDATE(MAX(J35,K35,P35,Q35,R35),36))</f>
        <v/>
      </c>
      <c r="U35" s="9" t="str">
        <f aca="false">IF(OR(L35&lt;&gt;"Email",K35="",P35&lt;&gt;"",M35="Opposition",M35="Pas intéressé",M35="Client",M35="Rendez-vous pris",M35="Numéro erroné"),"",WORKDAY(K35,5))</f>
        <v/>
      </c>
      <c r="V35" s="9" t="str">
        <f aca="false">IF(OR(P35="",Q35&lt;&gt;"",M35="Opposition",M35="Pas intéressé",M35="Client",M35="Rendez-vous pris",M35="Numéro erroné"),"",WORKDAY(P35,7))</f>
        <v/>
      </c>
      <c r="W35" s="7" t="str">
        <f aca="true">IF(M35="Opposition","Ne pas contacter",IF(AND(U35&lt;&gt;"",U35&lt;=TODAY()),"Relance 1 à envoyer",IF(AND(V35&lt;&gt;"",V35&lt;=TODAY()),"Relance 2 à envoyer",IF(AND(O35&lt;&gt;"",O35&lt;=TODAY()),"Rappel à faire",""))))</f>
        <v/>
      </c>
    </row>
    <row r="36" customFormat="false" ht="15" hidden="false" customHeight="false" outlineLevel="0" collapsed="false">
      <c r="A36" s="7" t="n">
        <v>35</v>
      </c>
      <c r="B36" s="8"/>
      <c r="C36" s="8"/>
      <c r="D36" s="7"/>
      <c r="E36" s="7"/>
      <c r="F36" s="8"/>
      <c r="G36" s="7"/>
      <c r="H36" s="7"/>
      <c r="I36" s="8"/>
      <c r="J36" s="9"/>
      <c r="K36" s="9"/>
      <c r="L36" s="7"/>
      <c r="M36" s="7"/>
      <c r="N36" s="8"/>
      <c r="O36" s="9"/>
      <c r="P36" s="9"/>
      <c r="Q36" s="9"/>
      <c r="R36" s="9"/>
      <c r="S36" s="8"/>
      <c r="T36" s="9" t="str">
        <f aca="false">IF(J36="","",EDATE(MAX(J36,K36,P36,Q36,R36),36))</f>
        <v/>
      </c>
      <c r="U36" s="9" t="str">
        <f aca="false">IF(OR(L36&lt;&gt;"Email",K36="",P36&lt;&gt;"",M36="Opposition",M36="Pas intéressé",M36="Client",M36="Rendez-vous pris",M36="Numéro erroné"),"",WORKDAY(K36,5))</f>
        <v/>
      </c>
      <c r="V36" s="9" t="str">
        <f aca="false">IF(OR(P36="",Q36&lt;&gt;"",M36="Opposition",M36="Pas intéressé",M36="Client",M36="Rendez-vous pris",M36="Numéro erroné"),"",WORKDAY(P36,7))</f>
        <v/>
      </c>
      <c r="W36" s="7" t="str">
        <f aca="true">IF(M36="Opposition","Ne pas contacter",IF(AND(U36&lt;&gt;"",U36&lt;=TODAY()),"Relance 1 à envoyer",IF(AND(V36&lt;&gt;"",V36&lt;=TODAY()),"Relance 2 à envoyer",IF(AND(O36&lt;&gt;"",O36&lt;=TODAY()),"Rappel à faire",""))))</f>
        <v/>
      </c>
    </row>
    <row r="37" customFormat="false" ht="15" hidden="false" customHeight="false" outlineLevel="0" collapsed="false">
      <c r="A37" s="7" t="n">
        <v>36</v>
      </c>
      <c r="B37" s="8"/>
      <c r="C37" s="8"/>
      <c r="D37" s="7"/>
      <c r="E37" s="7"/>
      <c r="F37" s="8"/>
      <c r="G37" s="7"/>
      <c r="H37" s="7"/>
      <c r="I37" s="8"/>
      <c r="J37" s="9"/>
      <c r="K37" s="9"/>
      <c r="L37" s="7"/>
      <c r="M37" s="7"/>
      <c r="N37" s="8"/>
      <c r="O37" s="9"/>
      <c r="P37" s="9"/>
      <c r="Q37" s="9"/>
      <c r="R37" s="9"/>
      <c r="S37" s="8"/>
      <c r="T37" s="9" t="str">
        <f aca="false">IF(J37="","",EDATE(MAX(J37,K37,P37,Q37,R37),36))</f>
        <v/>
      </c>
      <c r="U37" s="9" t="str">
        <f aca="false">IF(OR(L37&lt;&gt;"Email",K37="",P37&lt;&gt;"",M37="Opposition",M37="Pas intéressé",M37="Client",M37="Rendez-vous pris",M37="Numéro erroné"),"",WORKDAY(K37,5))</f>
        <v/>
      </c>
      <c r="V37" s="9" t="str">
        <f aca="false">IF(OR(P37="",Q37&lt;&gt;"",M37="Opposition",M37="Pas intéressé",M37="Client",M37="Rendez-vous pris",M37="Numéro erroné"),"",WORKDAY(P37,7))</f>
        <v/>
      </c>
      <c r="W37" s="7" t="str">
        <f aca="true">IF(M37="Opposition","Ne pas contacter",IF(AND(U37&lt;&gt;"",U37&lt;=TODAY()),"Relance 1 à envoyer",IF(AND(V37&lt;&gt;"",V37&lt;=TODAY()),"Relance 2 à envoyer",IF(AND(O37&lt;&gt;"",O37&lt;=TODAY()),"Rappel à faire",""))))</f>
        <v/>
      </c>
    </row>
    <row r="38" customFormat="false" ht="15" hidden="false" customHeight="false" outlineLevel="0" collapsed="false">
      <c r="A38" s="7" t="n">
        <v>37</v>
      </c>
      <c r="B38" s="8"/>
      <c r="C38" s="8"/>
      <c r="D38" s="7"/>
      <c r="E38" s="7"/>
      <c r="F38" s="8"/>
      <c r="G38" s="7"/>
      <c r="H38" s="7"/>
      <c r="I38" s="8"/>
      <c r="J38" s="9"/>
      <c r="K38" s="9"/>
      <c r="L38" s="7"/>
      <c r="M38" s="7"/>
      <c r="N38" s="8"/>
      <c r="O38" s="9"/>
      <c r="P38" s="9"/>
      <c r="Q38" s="9"/>
      <c r="R38" s="9"/>
      <c r="S38" s="8"/>
      <c r="T38" s="9" t="str">
        <f aca="false">IF(J38="","",EDATE(MAX(J38,K38,P38,Q38,R38),36))</f>
        <v/>
      </c>
      <c r="U38" s="9" t="str">
        <f aca="false">IF(OR(L38&lt;&gt;"Email",K38="",P38&lt;&gt;"",M38="Opposition",M38="Pas intéressé",M38="Client",M38="Rendez-vous pris",M38="Numéro erroné"),"",WORKDAY(K38,5))</f>
        <v/>
      </c>
      <c r="V38" s="9" t="str">
        <f aca="false">IF(OR(P38="",Q38&lt;&gt;"",M38="Opposition",M38="Pas intéressé",M38="Client",M38="Rendez-vous pris",M38="Numéro erroné"),"",WORKDAY(P38,7))</f>
        <v/>
      </c>
      <c r="W38" s="7" t="str">
        <f aca="true">IF(M38="Opposition","Ne pas contacter",IF(AND(U38&lt;&gt;"",U38&lt;=TODAY()),"Relance 1 à envoyer",IF(AND(V38&lt;&gt;"",V38&lt;=TODAY()),"Relance 2 à envoyer",IF(AND(O38&lt;&gt;"",O38&lt;=TODAY()),"Rappel à faire",""))))</f>
        <v/>
      </c>
    </row>
    <row r="39" customFormat="false" ht="15" hidden="false" customHeight="false" outlineLevel="0" collapsed="false">
      <c r="A39" s="7" t="n">
        <v>38</v>
      </c>
      <c r="B39" s="8"/>
      <c r="C39" s="8"/>
      <c r="D39" s="7"/>
      <c r="E39" s="7"/>
      <c r="F39" s="8"/>
      <c r="G39" s="7"/>
      <c r="H39" s="7"/>
      <c r="I39" s="8"/>
      <c r="J39" s="9"/>
      <c r="K39" s="9"/>
      <c r="L39" s="7"/>
      <c r="M39" s="7"/>
      <c r="N39" s="8"/>
      <c r="O39" s="9"/>
      <c r="P39" s="9"/>
      <c r="Q39" s="9"/>
      <c r="R39" s="9"/>
      <c r="S39" s="8"/>
      <c r="T39" s="9" t="str">
        <f aca="false">IF(J39="","",EDATE(MAX(J39,K39,P39,Q39,R39),36))</f>
        <v/>
      </c>
      <c r="U39" s="9" t="str">
        <f aca="false">IF(OR(L39&lt;&gt;"Email",K39="",P39&lt;&gt;"",M39="Opposition",M39="Pas intéressé",M39="Client",M39="Rendez-vous pris",M39="Numéro erroné"),"",WORKDAY(K39,5))</f>
        <v/>
      </c>
      <c r="V39" s="9" t="str">
        <f aca="false">IF(OR(P39="",Q39&lt;&gt;"",M39="Opposition",M39="Pas intéressé",M39="Client",M39="Rendez-vous pris",M39="Numéro erroné"),"",WORKDAY(P39,7))</f>
        <v/>
      </c>
      <c r="W39" s="7" t="str">
        <f aca="true">IF(M39="Opposition","Ne pas contacter",IF(AND(U39&lt;&gt;"",U39&lt;=TODAY()),"Relance 1 à envoyer",IF(AND(V39&lt;&gt;"",V39&lt;=TODAY()),"Relance 2 à envoyer",IF(AND(O39&lt;&gt;"",O39&lt;=TODAY()),"Rappel à faire",""))))</f>
        <v/>
      </c>
    </row>
    <row r="40" customFormat="false" ht="15" hidden="false" customHeight="false" outlineLevel="0" collapsed="false">
      <c r="A40" s="7" t="n">
        <v>39</v>
      </c>
      <c r="B40" s="8"/>
      <c r="C40" s="8"/>
      <c r="D40" s="7"/>
      <c r="E40" s="7"/>
      <c r="F40" s="8"/>
      <c r="G40" s="7"/>
      <c r="H40" s="7"/>
      <c r="I40" s="8"/>
      <c r="J40" s="9"/>
      <c r="K40" s="9"/>
      <c r="L40" s="7"/>
      <c r="M40" s="7"/>
      <c r="N40" s="8"/>
      <c r="O40" s="9"/>
      <c r="P40" s="9"/>
      <c r="Q40" s="9"/>
      <c r="R40" s="9"/>
      <c r="S40" s="8"/>
      <c r="T40" s="9" t="str">
        <f aca="false">IF(J40="","",EDATE(MAX(J40,K40,P40,Q40,R40),36))</f>
        <v/>
      </c>
      <c r="U40" s="9" t="str">
        <f aca="false">IF(OR(L40&lt;&gt;"Email",K40="",P40&lt;&gt;"",M40="Opposition",M40="Pas intéressé",M40="Client",M40="Rendez-vous pris",M40="Numéro erroné"),"",WORKDAY(K40,5))</f>
        <v/>
      </c>
      <c r="V40" s="9" t="str">
        <f aca="false">IF(OR(P40="",Q40&lt;&gt;"",M40="Opposition",M40="Pas intéressé",M40="Client",M40="Rendez-vous pris",M40="Numéro erroné"),"",WORKDAY(P40,7))</f>
        <v/>
      </c>
      <c r="W40" s="7" t="str">
        <f aca="true">IF(M40="Opposition","Ne pas contacter",IF(AND(U40&lt;&gt;"",U40&lt;=TODAY()),"Relance 1 à envoyer",IF(AND(V40&lt;&gt;"",V40&lt;=TODAY()),"Relance 2 à envoyer",IF(AND(O40&lt;&gt;"",O40&lt;=TODAY()),"Rappel à faire",""))))</f>
        <v/>
      </c>
    </row>
    <row r="41" customFormat="false" ht="15" hidden="false" customHeight="false" outlineLevel="0" collapsed="false">
      <c r="A41" s="7" t="n">
        <v>40</v>
      </c>
      <c r="B41" s="8"/>
      <c r="C41" s="8"/>
      <c r="D41" s="7"/>
      <c r="E41" s="7"/>
      <c r="F41" s="8"/>
      <c r="G41" s="7"/>
      <c r="H41" s="7"/>
      <c r="I41" s="8"/>
      <c r="J41" s="9"/>
      <c r="K41" s="9"/>
      <c r="L41" s="7"/>
      <c r="M41" s="7"/>
      <c r="N41" s="8"/>
      <c r="O41" s="9"/>
      <c r="P41" s="9"/>
      <c r="Q41" s="9"/>
      <c r="R41" s="9"/>
      <c r="S41" s="8"/>
      <c r="T41" s="9" t="str">
        <f aca="false">IF(J41="","",EDATE(MAX(J41,K41,P41,Q41,R41),36))</f>
        <v/>
      </c>
      <c r="U41" s="9" t="str">
        <f aca="false">IF(OR(L41&lt;&gt;"Email",K41="",P41&lt;&gt;"",M41="Opposition",M41="Pas intéressé",M41="Client",M41="Rendez-vous pris",M41="Numéro erroné"),"",WORKDAY(K41,5))</f>
        <v/>
      </c>
      <c r="V41" s="9" t="str">
        <f aca="false">IF(OR(P41="",Q41&lt;&gt;"",M41="Opposition",M41="Pas intéressé",M41="Client",M41="Rendez-vous pris",M41="Numéro erroné"),"",WORKDAY(P41,7))</f>
        <v/>
      </c>
      <c r="W41" s="7" t="str">
        <f aca="true">IF(M41="Opposition","Ne pas contacter",IF(AND(U41&lt;&gt;"",U41&lt;=TODAY()),"Relance 1 à envoyer",IF(AND(V41&lt;&gt;"",V41&lt;=TODAY()),"Relance 2 à envoyer",IF(AND(O41&lt;&gt;"",O41&lt;=TODAY()),"Rappel à faire",""))))</f>
        <v/>
      </c>
    </row>
    <row r="42" customFormat="false" ht="15" hidden="false" customHeight="false" outlineLevel="0" collapsed="false">
      <c r="A42" s="7" t="n">
        <v>41</v>
      </c>
      <c r="B42" s="8"/>
      <c r="C42" s="8"/>
      <c r="D42" s="7"/>
      <c r="E42" s="7"/>
      <c r="F42" s="8"/>
      <c r="G42" s="7"/>
      <c r="H42" s="7"/>
      <c r="I42" s="8"/>
      <c r="J42" s="9"/>
      <c r="K42" s="9"/>
      <c r="L42" s="7"/>
      <c r="M42" s="7"/>
      <c r="N42" s="8"/>
      <c r="O42" s="9"/>
      <c r="P42" s="9"/>
      <c r="Q42" s="9"/>
      <c r="R42" s="9"/>
      <c r="S42" s="8"/>
      <c r="T42" s="9" t="str">
        <f aca="false">IF(J42="","",EDATE(MAX(J42,K42,P42,Q42,R42),36))</f>
        <v/>
      </c>
      <c r="U42" s="9" t="str">
        <f aca="false">IF(OR(L42&lt;&gt;"Email",K42="",P42&lt;&gt;"",M42="Opposition",M42="Pas intéressé",M42="Client",M42="Rendez-vous pris",M42="Numéro erroné"),"",WORKDAY(K42,5))</f>
        <v/>
      </c>
      <c r="V42" s="9" t="str">
        <f aca="false">IF(OR(P42="",Q42&lt;&gt;"",M42="Opposition",M42="Pas intéressé",M42="Client",M42="Rendez-vous pris",M42="Numéro erroné"),"",WORKDAY(P42,7))</f>
        <v/>
      </c>
      <c r="W42" s="7" t="str">
        <f aca="true">IF(M42="Opposition","Ne pas contacter",IF(AND(U42&lt;&gt;"",U42&lt;=TODAY()),"Relance 1 à envoyer",IF(AND(V42&lt;&gt;"",V42&lt;=TODAY()),"Relance 2 à envoyer",IF(AND(O42&lt;&gt;"",O42&lt;=TODAY()),"Rappel à faire",""))))</f>
        <v/>
      </c>
    </row>
    <row r="43" customFormat="false" ht="15" hidden="false" customHeight="false" outlineLevel="0" collapsed="false">
      <c r="A43" s="7" t="n">
        <v>42</v>
      </c>
      <c r="B43" s="8"/>
      <c r="C43" s="8"/>
      <c r="D43" s="7"/>
      <c r="E43" s="7"/>
      <c r="F43" s="8"/>
      <c r="G43" s="7"/>
      <c r="H43" s="7"/>
      <c r="I43" s="8"/>
      <c r="J43" s="9"/>
      <c r="K43" s="9"/>
      <c r="L43" s="7"/>
      <c r="M43" s="7"/>
      <c r="N43" s="8"/>
      <c r="O43" s="9"/>
      <c r="P43" s="9"/>
      <c r="Q43" s="9"/>
      <c r="R43" s="9"/>
      <c r="S43" s="8"/>
      <c r="T43" s="9" t="str">
        <f aca="false">IF(J43="","",EDATE(MAX(J43,K43,P43,Q43,R43),36))</f>
        <v/>
      </c>
      <c r="U43" s="9" t="str">
        <f aca="false">IF(OR(L43&lt;&gt;"Email",K43="",P43&lt;&gt;"",M43="Opposition",M43="Pas intéressé",M43="Client",M43="Rendez-vous pris",M43="Numéro erroné"),"",WORKDAY(K43,5))</f>
        <v/>
      </c>
      <c r="V43" s="9" t="str">
        <f aca="false">IF(OR(P43="",Q43&lt;&gt;"",M43="Opposition",M43="Pas intéressé",M43="Client",M43="Rendez-vous pris",M43="Numéro erroné"),"",WORKDAY(P43,7))</f>
        <v/>
      </c>
      <c r="W43" s="7" t="str">
        <f aca="true">IF(M43="Opposition","Ne pas contacter",IF(AND(U43&lt;&gt;"",U43&lt;=TODAY()),"Relance 1 à envoyer",IF(AND(V43&lt;&gt;"",V43&lt;=TODAY()),"Relance 2 à envoyer",IF(AND(O43&lt;&gt;"",O43&lt;=TODAY()),"Rappel à faire",""))))</f>
        <v/>
      </c>
    </row>
    <row r="44" customFormat="false" ht="15" hidden="false" customHeight="false" outlineLevel="0" collapsed="false">
      <c r="A44" s="7" t="n">
        <v>43</v>
      </c>
      <c r="B44" s="8"/>
      <c r="C44" s="8"/>
      <c r="D44" s="7"/>
      <c r="E44" s="7"/>
      <c r="F44" s="8"/>
      <c r="G44" s="7"/>
      <c r="H44" s="7"/>
      <c r="I44" s="8"/>
      <c r="J44" s="9"/>
      <c r="K44" s="9"/>
      <c r="L44" s="7"/>
      <c r="M44" s="7"/>
      <c r="N44" s="8"/>
      <c r="O44" s="9"/>
      <c r="P44" s="9"/>
      <c r="Q44" s="9"/>
      <c r="R44" s="9"/>
      <c r="S44" s="8"/>
      <c r="T44" s="9" t="str">
        <f aca="false">IF(J44="","",EDATE(MAX(J44,K44,P44,Q44,R44),36))</f>
        <v/>
      </c>
      <c r="U44" s="9" t="str">
        <f aca="false">IF(OR(L44&lt;&gt;"Email",K44="",P44&lt;&gt;"",M44="Opposition",M44="Pas intéressé",M44="Client",M44="Rendez-vous pris",M44="Numéro erroné"),"",WORKDAY(K44,5))</f>
        <v/>
      </c>
      <c r="V44" s="9" t="str">
        <f aca="false">IF(OR(P44="",Q44&lt;&gt;"",M44="Opposition",M44="Pas intéressé",M44="Client",M44="Rendez-vous pris",M44="Numéro erroné"),"",WORKDAY(P44,7))</f>
        <v/>
      </c>
      <c r="W44" s="7" t="str">
        <f aca="true">IF(M44="Opposition","Ne pas contacter",IF(AND(U44&lt;&gt;"",U44&lt;=TODAY()),"Relance 1 à envoyer",IF(AND(V44&lt;&gt;"",V44&lt;=TODAY()),"Relance 2 à envoyer",IF(AND(O44&lt;&gt;"",O44&lt;=TODAY()),"Rappel à faire",""))))</f>
        <v/>
      </c>
    </row>
    <row r="45" customFormat="false" ht="15" hidden="false" customHeight="false" outlineLevel="0" collapsed="false">
      <c r="A45" s="7" t="n">
        <v>44</v>
      </c>
      <c r="B45" s="8"/>
      <c r="C45" s="8"/>
      <c r="D45" s="7"/>
      <c r="E45" s="7"/>
      <c r="F45" s="8"/>
      <c r="G45" s="7"/>
      <c r="H45" s="7"/>
      <c r="I45" s="8"/>
      <c r="J45" s="9"/>
      <c r="K45" s="9"/>
      <c r="L45" s="7"/>
      <c r="M45" s="7"/>
      <c r="N45" s="8"/>
      <c r="O45" s="9"/>
      <c r="P45" s="9"/>
      <c r="Q45" s="9"/>
      <c r="R45" s="9"/>
      <c r="S45" s="8"/>
      <c r="T45" s="9" t="str">
        <f aca="false">IF(J45="","",EDATE(MAX(J45,K45,P45,Q45,R45),36))</f>
        <v/>
      </c>
      <c r="U45" s="9" t="str">
        <f aca="false">IF(OR(L45&lt;&gt;"Email",K45="",P45&lt;&gt;"",M45="Opposition",M45="Pas intéressé",M45="Client",M45="Rendez-vous pris",M45="Numéro erroné"),"",WORKDAY(K45,5))</f>
        <v/>
      </c>
      <c r="V45" s="9" t="str">
        <f aca="false">IF(OR(P45="",Q45&lt;&gt;"",M45="Opposition",M45="Pas intéressé",M45="Client",M45="Rendez-vous pris",M45="Numéro erroné"),"",WORKDAY(P45,7))</f>
        <v/>
      </c>
      <c r="W45" s="7" t="str">
        <f aca="true">IF(M45="Opposition","Ne pas contacter",IF(AND(U45&lt;&gt;"",U45&lt;=TODAY()),"Relance 1 à envoyer",IF(AND(V45&lt;&gt;"",V45&lt;=TODAY()),"Relance 2 à envoyer",IF(AND(O45&lt;&gt;"",O45&lt;=TODAY()),"Rappel à faire",""))))</f>
        <v/>
      </c>
    </row>
    <row r="46" customFormat="false" ht="15" hidden="false" customHeight="false" outlineLevel="0" collapsed="false">
      <c r="A46" s="7" t="n">
        <v>45</v>
      </c>
      <c r="B46" s="8"/>
      <c r="C46" s="8"/>
      <c r="D46" s="7"/>
      <c r="E46" s="7"/>
      <c r="F46" s="8"/>
      <c r="G46" s="7"/>
      <c r="H46" s="7"/>
      <c r="I46" s="8"/>
      <c r="J46" s="9"/>
      <c r="K46" s="9"/>
      <c r="L46" s="7"/>
      <c r="M46" s="7"/>
      <c r="N46" s="8"/>
      <c r="O46" s="9"/>
      <c r="P46" s="9"/>
      <c r="Q46" s="9"/>
      <c r="R46" s="9"/>
      <c r="S46" s="8"/>
      <c r="T46" s="9" t="str">
        <f aca="false">IF(J46="","",EDATE(MAX(J46,K46,P46,Q46,R46),36))</f>
        <v/>
      </c>
      <c r="U46" s="9" t="str">
        <f aca="false">IF(OR(L46&lt;&gt;"Email",K46="",P46&lt;&gt;"",M46="Opposition",M46="Pas intéressé",M46="Client",M46="Rendez-vous pris",M46="Numéro erroné"),"",WORKDAY(K46,5))</f>
        <v/>
      </c>
      <c r="V46" s="9" t="str">
        <f aca="false">IF(OR(P46="",Q46&lt;&gt;"",M46="Opposition",M46="Pas intéressé",M46="Client",M46="Rendez-vous pris",M46="Numéro erroné"),"",WORKDAY(P46,7))</f>
        <v/>
      </c>
      <c r="W46" s="7" t="str">
        <f aca="true">IF(M46="Opposition","Ne pas contacter",IF(AND(U46&lt;&gt;"",U46&lt;=TODAY()),"Relance 1 à envoyer",IF(AND(V46&lt;&gt;"",V46&lt;=TODAY()),"Relance 2 à envoyer",IF(AND(O46&lt;&gt;"",O46&lt;=TODAY()),"Rappel à faire",""))))</f>
        <v/>
      </c>
    </row>
    <row r="47" customFormat="false" ht="15" hidden="false" customHeight="false" outlineLevel="0" collapsed="false">
      <c r="A47" s="7" t="n">
        <v>46</v>
      </c>
      <c r="B47" s="8"/>
      <c r="C47" s="8"/>
      <c r="D47" s="7"/>
      <c r="E47" s="7"/>
      <c r="F47" s="8"/>
      <c r="G47" s="7"/>
      <c r="H47" s="7"/>
      <c r="I47" s="8"/>
      <c r="J47" s="9"/>
      <c r="K47" s="9"/>
      <c r="L47" s="7"/>
      <c r="M47" s="7"/>
      <c r="N47" s="8"/>
      <c r="O47" s="9"/>
      <c r="P47" s="9"/>
      <c r="Q47" s="9"/>
      <c r="R47" s="9"/>
      <c r="S47" s="8"/>
      <c r="T47" s="9" t="str">
        <f aca="false">IF(J47="","",EDATE(MAX(J47,K47,P47,Q47,R47),36))</f>
        <v/>
      </c>
      <c r="U47" s="9" t="str">
        <f aca="false">IF(OR(L47&lt;&gt;"Email",K47="",P47&lt;&gt;"",M47="Opposition",M47="Pas intéressé",M47="Client",M47="Rendez-vous pris",M47="Numéro erroné"),"",WORKDAY(K47,5))</f>
        <v/>
      </c>
      <c r="V47" s="9" t="str">
        <f aca="false">IF(OR(P47="",Q47&lt;&gt;"",M47="Opposition",M47="Pas intéressé",M47="Client",M47="Rendez-vous pris",M47="Numéro erroné"),"",WORKDAY(P47,7))</f>
        <v/>
      </c>
      <c r="W47" s="7" t="str">
        <f aca="true">IF(M47="Opposition","Ne pas contacter",IF(AND(U47&lt;&gt;"",U47&lt;=TODAY()),"Relance 1 à envoyer",IF(AND(V47&lt;&gt;"",V47&lt;=TODAY()),"Relance 2 à envoyer",IF(AND(O47&lt;&gt;"",O47&lt;=TODAY()),"Rappel à faire",""))))</f>
        <v/>
      </c>
    </row>
    <row r="48" customFormat="false" ht="15" hidden="false" customHeight="false" outlineLevel="0" collapsed="false">
      <c r="A48" s="7" t="n">
        <v>47</v>
      </c>
      <c r="B48" s="8"/>
      <c r="C48" s="8"/>
      <c r="D48" s="7"/>
      <c r="E48" s="7"/>
      <c r="F48" s="8"/>
      <c r="G48" s="7"/>
      <c r="H48" s="7"/>
      <c r="I48" s="8"/>
      <c r="J48" s="9"/>
      <c r="K48" s="9"/>
      <c r="L48" s="7"/>
      <c r="M48" s="7"/>
      <c r="N48" s="8"/>
      <c r="O48" s="9"/>
      <c r="P48" s="9"/>
      <c r="Q48" s="9"/>
      <c r="R48" s="9"/>
      <c r="S48" s="8"/>
      <c r="T48" s="9" t="str">
        <f aca="false">IF(J48="","",EDATE(MAX(J48,K48,P48,Q48,R48),36))</f>
        <v/>
      </c>
      <c r="U48" s="9" t="str">
        <f aca="false">IF(OR(L48&lt;&gt;"Email",K48="",P48&lt;&gt;"",M48="Opposition",M48="Pas intéressé",M48="Client",M48="Rendez-vous pris",M48="Numéro erroné"),"",WORKDAY(K48,5))</f>
        <v/>
      </c>
      <c r="V48" s="9" t="str">
        <f aca="false">IF(OR(P48="",Q48&lt;&gt;"",M48="Opposition",M48="Pas intéressé",M48="Client",M48="Rendez-vous pris",M48="Numéro erroné"),"",WORKDAY(P48,7))</f>
        <v/>
      </c>
      <c r="W48" s="7" t="str">
        <f aca="true">IF(M48="Opposition","Ne pas contacter",IF(AND(U48&lt;&gt;"",U48&lt;=TODAY()),"Relance 1 à envoyer",IF(AND(V48&lt;&gt;"",V48&lt;=TODAY()),"Relance 2 à envoyer",IF(AND(O48&lt;&gt;"",O48&lt;=TODAY()),"Rappel à faire",""))))</f>
        <v/>
      </c>
    </row>
    <row r="49" customFormat="false" ht="15" hidden="false" customHeight="false" outlineLevel="0" collapsed="false">
      <c r="A49" s="7" t="n">
        <v>48</v>
      </c>
      <c r="B49" s="8"/>
      <c r="C49" s="8"/>
      <c r="D49" s="7"/>
      <c r="E49" s="7"/>
      <c r="F49" s="8"/>
      <c r="G49" s="7"/>
      <c r="H49" s="7"/>
      <c r="I49" s="8"/>
      <c r="J49" s="9"/>
      <c r="K49" s="9"/>
      <c r="L49" s="7"/>
      <c r="M49" s="7"/>
      <c r="N49" s="8"/>
      <c r="O49" s="9"/>
      <c r="P49" s="9"/>
      <c r="Q49" s="9"/>
      <c r="R49" s="9"/>
      <c r="S49" s="8"/>
      <c r="T49" s="9" t="str">
        <f aca="false">IF(J49="","",EDATE(MAX(J49,K49,P49,Q49,R49),36))</f>
        <v/>
      </c>
      <c r="U49" s="9" t="str">
        <f aca="false">IF(OR(L49&lt;&gt;"Email",K49="",P49&lt;&gt;"",M49="Opposition",M49="Pas intéressé",M49="Client",M49="Rendez-vous pris",M49="Numéro erroné"),"",WORKDAY(K49,5))</f>
        <v/>
      </c>
      <c r="V49" s="9" t="str">
        <f aca="false">IF(OR(P49="",Q49&lt;&gt;"",M49="Opposition",M49="Pas intéressé",M49="Client",M49="Rendez-vous pris",M49="Numéro erroné"),"",WORKDAY(P49,7))</f>
        <v/>
      </c>
      <c r="W49" s="7" t="str">
        <f aca="true">IF(M49="Opposition","Ne pas contacter",IF(AND(U49&lt;&gt;"",U49&lt;=TODAY()),"Relance 1 à envoyer",IF(AND(V49&lt;&gt;"",V49&lt;=TODAY()),"Relance 2 à envoyer",IF(AND(O49&lt;&gt;"",O49&lt;=TODAY()),"Rappel à faire",""))))</f>
        <v/>
      </c>
    </row>
    <row r="50" customFormat="false" ht="15" hidden="false" customHeight="false" outlineLevel="0" collapsed="false">
      <c r="A50" s="7" t="n">
        <v>49</v>
      </c>
      <c r="B50" s="8"/>
      <c r="C50" s="8"/>
      <c r="D50" s="7"/>
      <c r="E50" s="7"/>
      <c r="F50" s="8"/>
      <c r="G50" s="7"/>
      <c r="H50" s="7"/>
      <c r="I50" s="8"/>
      <c r="J50" s="9"/>
      <c r="K50" s="9"/>
      <c r="L50" s="7"/>
      <c r="M50" s="7"/>
      <c r="N50" s="8"/>
      <c r="O50" s="9"/>
      <c r="P50" s="9"/>
      <c r="Q50" s="9"/>
      <c r="R50" s="9"/>
      <c r="S50" s="8"/>
      <c r="T50" s="9" t="str">
        <f aca="false">IF(J50="","",EDATE(MAX(J50,K50,P50,Q50,R50),36))</f>
        <v/>
      </c>
      <c r="U50" s="9" t="str">
        <f aca="false">IF(OR(L50&lt;&gt;"Email",K50="",P50&lt;&gt;"",M50="Opposition",M50="Pas intéressé",M50="Client",M50="Rendez-vous pris",M50="Numéro erroné"),"",WORKDAY(K50,5))</f>
        <v/>
      </c>
      <c r="V50" s="9" t="str">
        <f aca="false">IF(OR(P50="",Q50&lt;&gt;"",M50="Opposition",M50="Pas intéressé",M50="Client",M50="Rendez-vous pris",M50="Numéro erroné"),"",WORKDAY(P50,7))</f>
        <v/>
      </c>
      <c r="W50" s="7" t="str">
        <f aca="true">IF(M50="Opposition","Ne pas contacter",IF(AND(U50&lt;&gt;"",U50&lt;=TODAY()),"Relance 1 à envoyer",IF(AND(V50&lt;&gt;"",V50&lt;=TODAY()),"Relance 2 à envoyer",IF(AND(O50&lt;&gt;"",O50&lt;=TODAY()),"Rappel à faire",""))))</f>
        <v/>
      </c>
    </row>
    <row r="51" customFormat="false" ht="15" hidden="false" customHeight="false" outlineLevel="0" collapsed="false">
      <c r="A51" s="7" t="n">
        <v>50</v>
      </c>
      <c r="B51" s="8"/>
      <c r="C51" s="8"/>
      <c r="D51" s="7"/>
      <c r="E51" s="7"/>
      <c r="F51" s="8"/>
      <c r="G51" s="7"/>
      <c r="H51" s="7"/>
      <c r="I51" s="8"/>
      <c r="J51" s="9"/>
      <c r="K51" s="9"/>
      <c r="L51" s="7"/>
      <c r="M51" s="7"/>
      <c r="N51" s="8"/>
      <c r="O51" s="9"/>
      <c r="P51" s="9"/>
      <c r="Q51" s="9"/>
      <c r="R51" s="9"/>
      <c r="S51" s="8"/>
      <c r="T51" s="9" t="str">
        <f aca="false">IF(J51="","",EDATE(MAX(J51,K51,P51,Q51,R51),36))</f>
        <v/>
      </c>
      <c r="U51" s="9" t="str">
        <f aca="false">IF(OR(L51&lt;&gt;"Email",K51="",P51&lt;&gt;"",M51="Opposition",M51="Pas intéressé",M51="Client",M51="Rendez-vous pris",M51="Numéro erroné"),"",WORKDAY(K51,5))</f>
        <v/>
      </c>
      <c r="V51" s="9" t="str">
        <f aca="false">IF(OR(P51="",Q51&lt;&gt;"",M51="Opposition",M51="Pas intéressé",M51="Client",M51="Rendez-vous pris",M51="Numéro erroné"),"",WORKDAY(P51,7))</f>
        <v/>
      </c>
      <c r="W51" s="7" t="str">
        <f aca="true">IF(M51="Opposition","Ne pas contacter",IF(AND(U51&lt;&gt;"",U51&lt;=TODAY()),"Relance 1 à envoyer",IF(AND(V51&lt;&gt;"",V51&lt;=TODAY()),"Relance 2 à envoyer",IF(AND(O51&lt;&gt;"",O51&lt;=TODAY()),"Rappel à faire",""))))</f>
        <v/>
      </c>
    </row>
    <row r="52" customFormat="false" ht="15" hidden="false" customHeight="false" outlineLevel="0" collapsed="false">
      <c r="A52" s="7" t="n">
        <v>51</v>
      </c>
      <c r="B52" s="8"/>
      <c r="C52" s="8"/>
      <c r="D52" s="7"/>
      <c r="E52" s="7"/>
      <c r="F52" s="8"/>
      <c r="G52" s="7"/>
      <c r="H52" s="7"/>
      <c r="I52" s="8"/>
      <c r="J52" s="9"/>
      <c r="K52" s="9"/>
      <c r="L52" s="7"/>
      <c r="M52" s="7"/>
      <c r="N52" s="8"/>
      <c r="O52" s="9"/>
      <c r="P52" s="9"/>
      <c r="Q52" s="9"/>
      <c r="R52" s="9"/>
      <c r="S52" s="8"/>
      <c r="T52" s="9" t="str">
        <f aca="false">IF(J52="","",EDATE(MAX(J52,K52,P52,Q52,R52),36))</f>
        <v/>
      </c>
      <c r="U52" s="9" t="str">
        <f aca="false">IF(OR(L52&lt;&gt;"Email",K52="",P52&lt;&gt;"",M52="Opposition",M52="Pas intéressé",M52="Client",M52="Rendez-vous pris",M52="Numéro erroné"),"",WORKDAY(K52,5))</f>
        <v/>
      </c>
      <c r="V52" s="9" t="str">
        <f aca="false">IF(OR(P52="",Q52&lt;&gt;"",M52="Opposition",M52="Pas intéressé",M52="Client",M52="Rendez-vous pris",M52="Numéro erroné"),"",WORKDAY(P52,7))</f>
        <v/>
      </c>
      <c r="W52" s="7" t="str">
        <f aca="true">IF(M52="Opposition","Ne pas contacter",IF(AND(U52&lt;&gt;"",U52&lt;=TODAY()),"Relance 1 à envoyer",IF(AND(V52&lt;&gt;"",V52&lt;=TODAY()),"Relance 2 à envoyer",IF(AND(O52&lt;&gt;"",O52&lt;=TODAY()),"Rappel à faire",""))))</f>
        <v/>
      </c>
    </row>
    <row r="53" customFormat="false" ht="15" hidden="false" customHeight="false" outlineLevel="0" collapsed="false">
      <c r="A53" s="7" t="n">
        <v>52</v>
      </c>
      <c r="B53" s="8"/>
      <c r="C53" s="8"/>
      <c r="D53" s="7"/>
      <c r="E53" s="7"/>
      <c r="F53" s="8"/>
      <c r="G53" s="7"/>
      <c r="H53" s="7"/>
      <c r="I53" s="8"/>
      <c r="J53" s="9"/>
      <c r="K53" s="9"/>
      <c r="L53" s="7"/>
      <c r="M53" s="7"/>
      <c r="N53" s="8"/>
      <c r="O53" s="9"/>
      <c r="P53" s="9"/>
      <c r="Q53" s="9"/>
      <c r="R53" s="9"/>
      <c r="S53" s="8"/>
      <c r="T53" s="9" t="str">
        <f aca="false">IF(J53="","",EDATE(MAX(J53,K53,P53,Q53,R53),36))</f>
        <v/>
      </c>
      <c r="U53" s="9" t="str">
        <f aca="false">IF(OR(L53&lt;&gt;"Email",K53="",P53&lt;&gt;"",M53="Opposition",M53="Pas intéressé",M53="Client",M53="Rendez-vous pris",M53="Numéro erroné"),"",WORKDAY(K53,5))</f>
        <v/>
      </c>
      <c r="V53" s="9" t="str">
        <f aca="false">IF(OR(P53="",Q53&lt;&gt;"",M53="Opposition",M53="Pas intéressé",M53="Client",M53="Rendez-vous pris",M53="Numéro erroné"),"",WORKDAY(P53,7))</f>
        <v/>
      </c>
      <c r="W53" s="7" t="str">
        <f aca="true">IF(M53="Opposition","Ne pas contacter",IF(AND(U53&lt;&gt;"",U53&lt;=TODAY()),"Relance 1 à envoyer",IF(AND(V53&lt;&gt;"",V53&lt;=TODAY()),"Relance 2 à envoyer",IF(AND(O53&lt;&gt;"",O53&lt;=TODAY()),"Rappel à faire",""))))</f>
        <v/>
      </c>
    </row>
    <row r="54" customFormat="false" ht="15" hidden="false" customHeight="false" outlineLevel="0" collapsed="false">
      <c r="A54" s="7" t="n">
        <v>53</v>
      </c>
      <c r="B54" s="8"/>
      <c r="C54" s="8"/>
      <c r="D54" s="7"/>
      <c r="E54" s="7"/>
      <c r="F54" s="8"/>
      <c r="G54" s="7"/>
      <c r="H54" s="7"/>
      <c r="I54" s="8"/>
      <c r="J54" s="9"/>
      <c r="K54" s="9"/>
      <c r="L54" s="7"/>
      <c r="M54" s="7"/>
      <c r="N54" s="8"/>
      <c r="O54" s="9"/>
      <c r="P54" s="9"/>
      <c r="Q54" s="9"/>
      <c r="R54" s="9"/>
      <c r="S54" s="8"/>
      <c r="T54" s="9" t="str">
        <f aca="false">IF(J54="","",EDATE(MAX(J54,K54,P54,Q54,R54),36))</f>
        <v/>
      </c>
      <c r="U54" s="9" t="str">
        <f aca="false">IF(OR(L54&lt;&gt;"Email",K54="",P54&lt;&gt;"",M54="Opposition",M54="Pas intéressé",M54="Client",M54="Rendez-vous pris",M54="Numéro erroné"),"",WORKDAY(K54,5))</f>
        <v/>
      </c>
      <c r="V54" s="9" t="str">
        <f aca="false">IF(OR(P54="",Q54&lt;&gt;"",M54="Opposition",M54="Pas intéressé",M54="Client",M54="Rendez-vous pris",M54="Numéro erroné"),"",WORKDAY(P54,7))</f>
        <v/>
      </c>
      <c r="W54" s="7" t="str">
        <f aca="true">IF(M54="Opposition","Ne pas contacter",IF(AND(U54&lt;&gt;"",U54&lt;=TODAY()),"Relance 1 à envoyer",IF(AND(V54&lt;&gt;"",V54&lt;=TODAY()),"Relance 2 à envoyer",IF(AND(O54&lt;&gt;"",O54&lt;=TODAY()),"Rappel à faire",""))))</f>
        <v/>
      </c>
    </row>
    <row r="55" customFormat="false" ht="15" hidden="false" customHeight="false" outlineLevel="0" collapsed="false">
      <c r="A55" s="7" t="n">
        <v>54</v>
      </c>
      <c r="B55" s="8"/>
      <c r="C55" s="8"/>
      <c r="D55" s="7"/>
      <c r="E55" s="7"/>
      <c r="F55" s="8"/>
      <c r="G55" s="7"/>
      <c r="H55" s="7"/>
      <c r="I55" s="8"/>
      <c r="J55" s="9"/>
      <c r="K55" s="9"/>
      <c r="L55" s="7"/>
      <c r="M55" s="7"/>
      <c r="N55" s="8"/>
      <c r="O55" s="9"/>
      <c r="P55" s="9"/>
      <c r="Q55" s="9"/>
      <c r="R55" s="9"/>
      <c r="S55" s="8"/>
      <c r="T55" s="9" t="str">
        <f aca="false">IF(J55="","",EDATE(MAX(J55,K55,P55,Q55,R55),36))</f>
        <v/>
      </c>
      <c r="U55" s="9" t="str">
        <f aca="false">IF(OR(L55&lt;&gt;"Email",K55="",P55&lt;&gt;"",M55="Opposition",M55="Pas intéressé",M55="Client",M55="Rendez-vous pris",M55="Numéro erroné"),"",WORKDAY(K55,5))</f>
        <v/>
      </c>
      <c r="V55" s="9" t="str">
        <f aca="false">IF(OR(P55="",Q55&lt;&gt;"",M55="Opposition",M55="Pas intéressé",M55="Client",M55="Rendez-vous pris",M55="Numéro erroné"),"",WORKDAY(P55,7))</f>
        <v/>
      </c>
      <c r="W55" s="7" t="str">
        <f aca="true">IF(M55="Opposition","Ne pas contacter",IF(AND(U55&lt;&gt;"",U55&lt;=TODAY()),"Relance 1 à envoyer",IF(AND(V55&lt;&gt;"",V55&lt;=TODAY()),"Relance 2 à envoyer",IF(AND(O55&lt;&gt;"",O55&lt;=TODAY()),"Rappel à faire",""))))</f>
        <v/>
      </c>
    </row>
    <row r="56" customFormat="false" ht="15" hidden="false" customHeight="false" outlineLevel="0" collapsed="false">
      <c r="A56" s="7" t="n">
        <v>55</v>
      </c>
      <c r="B56" s="8"/>
      <c r="C56" s="8"/>
      <c r="D56" s="7"/>
      <c r="E56" s="7"/>
      <c r="F56" s="8"/>
      <c r="G56" s="7"/>
      <c r="H56" s="7"/>
      <c r="I56" s="8"/>
      <c r="J56" s="9"/>
      <c r="K56" s="9"/>
      <c r="L56" s="7"/>
      <c r="M56" s="7"/>
      <c r="N56" s="8"/>
      <c r="O56" s="9"/>
      <c r="P56" s="9"/>
      <c r="Q56" s="9"/>
      <c r="R56" s="9"/>
      <c r="S56" s="8"/>
      <c r="T56" s="9" t="str">
        <f aca="false">IF(J56="","",EDATE(MAX(J56,K56,P56,Q56,R56),36))</f>
        <v/>
      </c>
      <c r="U56" s="9" t="str">
        <f aca="false">IF(OR(L56&lt;&gt;"Email",K56="",P56&lt;&gt;"",M56="Opposition",M56="Pas intéressé",M56="Client",M56="Rendez-vous pris",M56="Numéro erroné"),"",WORKDAY(K56,5))</f>
        <v/>
      </c>
      <c r="V56" s="9" t="str">
        <f aca="false">IF(OR(P56="",Q56&lt;&gt;"",M56="Opposition",M56="Pas intéressé",M56="Client",M56="Rendez-vous pris",M56="Numéro erroné"),"",WORKDAY(P56,7))</f>
        <v/>
      </c>
      <c r="W56" s="7" t="str">
        <f aca="true">IF(M56="Opposition","Ne pas contacter",IF(AND(U56&lt;&gt;"",U56&lt;=TODAY()),"Relance 1 à envoyer",IF(AND(V56&lt;&gt;"",V56&lt;=TODAY()),"Relance 2 à envoyer",IF(AND(O56&lt;&gt;"",O56&lt;=TODAY()),"Rappel à faire",""))))</f>
        <v/>
      </c>
    </row>
    <row r="57" customFormat="false" ht="15" hidden="false" customHeight="false" outlineLevel="0" collapsed="false">
      <c r="A57" s="7" t="n">
        <v>56</v>
      </c>
      <c r="B57" s="8"/>
      <c r="C57" s="8"/>
      <c r="D57" s="7"/>
      <c r="E57" s="7"/>
      <c r="F57" s="8"/>
      <c r="G57" s="7"/>
      <c r="H57" s="7"/>
      <c r="I57" s="8"/>
      <c r="J57" s="9"/>
      <c r="K57" s="9"/>
      <c r="L57" s="7"/>
      <c r="M57" s="7"/>
      <c r="N57" s="8"/>
      <c r="O57" s="9"/>
      <c r="P57" s="9"/>
      <c r="Q57" s="9"/>
      <c r="R57" s="9"/>
      <c r="S57" s="8"/>
      <c r="T57" s="9" t="str">
        <f aca="false">IF(J57="","",EDATE(MAX(J57,K57,P57,Q57,R57),36))</f>
        <v/>
      </c>
      <c r="U57" s="9" t="str">
        <f aca="false">IF(OR(L57&lt;&gt;"Email",K57="",P57&lt;&gt;"",M57="Opposition",M57="Pas intéressé",M57="Client",M57="Rendez-vous pris",M57="Numéro erroné"),"",WORKDAY(K57,5))</f>
        <v/>
      </c>
      <c r="V57" s="9" t="str">
        <f aca="false">IF(OR(P57="",Q57&lt;&gt;"",M57="Opposition",M57="Pas intéressé",M57="Client",M57="Rendez-vous pris",M57="Numéro erroné"),"",WORKDAY(P57,7))</f>
        <v/>
      </c>
      <c r="W57" s="7" t="str">
        <f aca="true">IF(M57="Opposition","Ne pas contacter",IF(AND(U57&lt;&gt;"",U57&lt;=TODAY()),"Relance 1 à envoyer",IF(AND(V57&lt;&gt;"",V57&lt;=TODAY()),"Relance 2 à envoyer",IF(AND(O57&lt;&gt;"",O57&lt;=TODAY()),"Rappel à faire",""))))</f>
        <v/>
      </c>
    </row>
    <row r="58" customFormat="false" ht="15" hidden="false" customHeight="false" outlineLevel="0" collapsed="false">
      <c r="A58" s="7" t="n">
        <v>57</v>
      </c>
      <c r="B58" s="8"/>
      <c r="C58" s="8"/>
      <c r="D58" s="7"/>
      <c r="E58" s="7"/>
      <c r="F58" s="8"/>
      <c r="G58" s="7"/>
      <c r="H58" s="7"/>
      <c r="I58" s="8"/>
      <c r="J58" s="9"/>
      <c r="K58" s="9"/>
      <c r="L58" s="7"/>
      <c r="M58" s="7"/>
      <c r="N58" s="8"/>
      <c r="O58" s="9"/>
      <c r="P58" s="9"/>
      <c r="Q58" s="9"/>
      <c r="R58" s="9"/>
      <c r="S58" s="8"/>
      <c r="T58" s="9" t="str">
        <f aca="false">IF(J58="","",EDATE(MAX(J58,K58,P58,Q58,R58),36))</f>
        <v/>
      </c>
      <c r="U58" s="9" t="str">
        <f aca="false">IF(OR(L58&lt;&gt;"Email",K58="",P58&lt;&gt;"",M58="Opposition",M58="Pas intéressé",M58="Client",M58="Rendez-vous pris",M58="Numéro erroné"),"",WORKDAY(K58,5))</f>
        <v/>
      </c>
      <c r="V58" s="9" t="str">
        <f aca="false">IF(OR(P58="",Q58&lt;&gt;"",M58="Opposition",M58="Pas intéressé",M58="Client",M58="Rendez-vous pris",M58="Numéro erroné"),"",WORKDAY(P58,7))</f>
        <v/>
      </c>
      <c r="W58" s="7" t="str">
        <f aca="true">IF(M58="Opposition","Ne pas contacter",IF(AND(U58&lt;&gt;"",U58&lt;=TODAY()),"Relance 1 à envoyer",IF(AND(V58&lt;&gt;"",V58&lt;=TODAY()),"Relance 2 à envoyer",IF(AND(O58&lt;&gt;"",O58&lt;=TODAY()),"Rappel à faire",""))))</f>
        <v/>
      </c>
    </row>
    <row r="59" customFormat="false" ht="15" hidden="false" customHeight="false" outlineLevel="0" collapsed="false">
      <c r="A59" s="7" t="n">
        <v>58</v>
      </c>
      <c r="B59" s="8"/>
      <c r="C59" s="8"/>
      <c r="D59" s="7"/>
      <c r="E59" s="7"/>
      <c r="F59" s="8"/>
      <c r="G59" s="7"/>
      <c r="H59" s="7"/>
      <c r="I59" s="8"/>
      <c r="J59" s="9"/>
      <c r="K59" s="9"/>
      <c r="L59" s="7"/>
      <c r="M59" s="7"/>
      <c r="N59" s="8"/>
      <c r="O59" s="9"/>
      <c r="P59" s="9"/>
      <c r="Q59" s="9"/>
      <c r="R59" s="9"/>
      <c r="S59" s="8"/>
      <c r="T59" s="9" t="str">
        <f aca="false">IF(J59="","",EDATE(MAX(J59,K59,P59,Q59,R59),36))</f>
        <v/>
      </c>
      <c r="U59" s="9" t="str">
        <f aca="false">IF(OR(L59&lt;&gt;"Email",K59="",P59&lt;&gt;"",M59="Opposition",M59="Pas intéressé",M59="Client",M59="Rendez-vous pris",M59="Numéro erroné"),"",WORKDAY(K59,5))</f>
        <v/>
      </c>
      <c r="V59" s="9" t="str">
        <f aca="false">IF(OR(P59="",Q59&lt;&gt;"",M59="Opposition",M59="Pas intéressé",M59="Client",M59="Rendez-vous pris",M59="Numéro erroné"),"",WORKDAY(P59,7))</f>
        <v/>
      </c>
      <c r="W59" s="7" t="str">
        <f aca="true">IF(M59="Opposition","Ne pas contacter",IF(AND(U59&lt;&gt;"",U59&lt;=TODAY()),"Relance 1 à envoyer",IF(AND(V59&lt;&gt;"",V59&lt;=TODAY()),"Relance 2 à envoyer",IF(AND(O59&lt;&gt;"",O59&lt;=TODAY()),"Rappel à faire",""))))</f>
        <v/>
      </c>
    </row>
    <row r="60" customFormat="false" ht="15" hidden="false" customHeight="false" outlineLevel="0" collapsed="false">
      <c r="A60" s="7" t="n">
        <v>59</v>
      </c>
      <c r="B60" s="8"/>
      <c r="C60" s="8"/>
      <c r="D60" s="7"/>
      <c r="E60" s="7"/>
      <c r="F60" s="8"/>
      <c r="G60" s="7"/>
      <c r="H60" s="7"/>
      <c r="I60" s="8"/>
      <c r="J60" s="9"/>
      <c r="K60" s="9"/>
      <c r="L60" s="7"/>
      <c r="M60" s="7"/>
      <c r="N60" s="8"/>
      <c r="O60" s="9"/>
      <c r="P60" s="9"/>
      <c r="Q60" s="9"/>
      <c r="R60" s="9"/>
      <c r="S60" s="8"/>
      <c r="T60" s="9" t="str">
        <f aca="false">IF(J60="","",EDATE(MAX(J60,K60,P60,Q60,R60),36))</f>
        <v/>
      </c>
      <c r="U60" s="9" t="str">
        <f aca="false">IF(OR(L60&lt;&gt;"Email",K60="",P60&lt;&gt;"",M60="Opposition",M60="Pas intéressé",M60="Client",M60="Rendez-vous pris",M60="Numéro erroné"),"",WORKDAY(K60,5))</f>
        <v/>
      </c>
      <c r="V60" s="9" t="str">
        <f aca="false">IF(OR(P60="",Q60&lt;&gt;"",M60="Opposition",M60="Pas intéressé",M60="Client",M60="Rendez-vous pris",M60="Numéro erroné"),"",WORKDAY(P60,7))</f>
        <v/>
      </c>
      <c r="W60" s="7" t="str">
        <f aca="true">IF(M60="Opposition","Ne pas contacter",IF(AND(U60&lt;&gt;"",U60&lt;=TODAY()),"Relance 1 à envoyer",IF(AND(V60&lt;&gt;"",V60&lt;=TODAY()),"Relance 2 à envoyer",IF(AND(O60&lt;&gt;"",O60&lt;=TODAY()),"Rappel à faire",""))))</f>
        <v/>
      </c>
    </row>
    <row r="61" customFormat="false" ht="15" hidden="false" customHeight="false" outlineLevel="0" collapsed="false">
      <c r="A61" s="7" t="n">
        <v>60</v>
      </c>
      <c r="B61" s="8"/>
      <c r="C61" s="8"/>
      <c r="D61" s="7"/>
      <c r="E61" s="7"/>
      <c r="F61" s="8"/>
      <c r="G61" s="7"/>
      <c r="H61" s="7"/>
      <c r="I61" s="8"/>
      <c r="J61" s="9"/>
      <c r="K61" s="9"/>
      <c r="L61" s="7"/>
      <c r="M61" s="7"/>
      <c r="N61" s="8"/>
      <c r="O61" s="9"/>
      <c r="P61" s="9"/>
      <c r="Q61" s="9"/>
      <c r="R61" s="9"/>
      <c r="S61" s="8"/>
      <c r="T61" s="9" t="str">
        <f aca="false">IF(J61="","",EDATE(MAX(J61,K61,P61,Q61,R61),36))</f>
        <v/>
      </c>
      <c r="U61" s="9" t="str">
        <f aca="false">IF(OR(L61&lt;&gt;"Email",K61="",P61&lt;&gt;"",M61="Opposition",M61="Pas intéressé",M61="Client",M61="Rendez-vous pris",M61="Numéro erroné"),"",WORKDAY(K61,5))</f>
        <v/>
      </c>
      <c r="V61" s="9" t="str">
        <f aca="false">IF(OR(P61="",Q61&lt;&gt;"",M61="Opposition",M61="Pas intéressé",M61="Client",M61="Rendez-vous pris",M61="Numéro erroné"),"",WORKDAY(P61,7))</f>
        <v/>
      </c>
      <c r="W61" s="7" t="str">
        <f aca="true">IF(M61="Opposition","Ne pas contacter",IF(AND(U61&lt;&gt;"",U61&lt;=TODAY()),"Relance 1 à envoyer",IF(AND(V61&lt;&gt;"",V61&lt;=TODAY()),"Relance 2 à envoyer",IF(AND(O61&lt;&gt;"",O61&lt;=TODAY()),"Rappel à faire",""))))</f>
        <v/>
      </c>
    </row>
    <row r="62" customFormat="false" ht="15" hidden="false" customHeight="false" outlineLevel="0" collapsed="false">
      <c r="A62" s="7" t="n">
        <v>61</v>
      </c>
      <c r="B62" s="8"/>
      <c r="C62" s="8"/>
      <c r="D62" s="7"/>
      <c r="E62" s="7"/>
      <c r="F62" s="8"/>
      <c r="G62" s="7"/>
      <c r="H62" s="7"/>
      <c r="I62" s="8"/>
      <c r="J62" s="9"/>
      <c r="K62" s="9"/>
      <c r="L62" s="7"/>
      <c r="M62" s="7"/>
      <c r="N62" s="8"/>
      <c r="O62" s="9"/>
      <c r="P62" s="9"/>
      <c r="Q62" s="9"/>
      <c r="R62" s="9"/>
      <c r="S62" s="8"/>
      <c r="T62" s="9" t="str">
        <f aca="false">IF(J62="","",EDATE(MAX(J62,K62,P62,Q62,R62),36))</f>
        <v/>
      </c>
      <c r="U62" s="9" t="str">
        <f aca="false">IF(OR(L62&lt;&gt;"Email",K62="",P62&lt;&gt;"",M62="Opposition",M62="Pas intéressé",M62="Client",M62="Rendez-vous pris",M62="Numéro erroné"),"",WORKDAY(K62,5))</f>
        <v/>
      </c>
      <c r="V62" s="9" t="str">
        <f aca="false">IF(OR(P62="",Q62&lt;&gt;"",M62="Opposition",M62="Pas intéressé",M62="Client",M62="Rendez-vous pris",M62="Numéro erroné"),"",WORKDAY(P62,7))</f>
        <v/>
      </c>
      <c r="W62" s="7" t="str">
        <f aca="true">IF(M62="Opposition","Ne pas contacter",IF(AND(U62&lt;&gt;"",U62&lt;=TODAY()),"Relance 1 à envoyer",IF(AND(V62&lt;&gt;"",V62&lt;=TODAY()),"Relance 2 à envoyer",IF(AND(O62&lt;&gt;"",O62&lt;=TODAY()),"Rappel à faire",""))))</f>
        <v/>
      </c>
    </row>
    <row r="63" customFormat="false" ht="15" hidden="false" customHeight="false" outlineLevel="0" collapsed="false">
      <c r="A63" s="7" t="n">
        <v>62</v>
      </c>
      <c r="B63" s="8"/>
      <c r="C63" s="8"/>
      <c r="D63" s="7"/>
      <c r="E63" s="7"/>
      <c r="F63" s="8"/>
      <c r="G63" s="7"/>
      <c r="H63" s="7"/>
      <c r="I63" s="8"/>
      <c r="J63" s="9"/>
      <c r="K63" s="9"/>
      <c r="L63" s="7"/>
      <c r="M63" s="7"/>
      <c r="N63" s="8"/>
      <c r="O63" s="9"/>
      <c r="P63" s="9"/>
      <c r="Q63" s="9"/>
      <c r="R63" s="9"/>
      <c r="S63" s="8"/>
      <c r="T63" s="9" t="str">
        <f aca="false">IF(J63="","",EDATE(MAX(J63,K63,P63,Q63,R63),36))</f>
        <v/>
      </c>
      <c r="U63" s="9" t="str">
        <f aca="false">IF(OR(L63&lt;&gt;"Email",K63="",P63&lt;&gt;"",M63="Opposition",M63="Pas intéressé",M63="Client",M63="Rendez-vous pris",M63="Numéro erroné"),"",WORKDAY(K63,5))</f>
        <v/>
      </c>
      <c r="V63" s="9" t="str">
        <f aca="false">IF(OR(P63="",Q63&lt;&gt;"",M63="Opposition",M63="Pas intéressé",M63="Client",M63="Rendez-vous pris",M63="Numéro erroné"),"",WORKDAY(P63,7))</f>
        <v/>
      </c>
      <c r="W63" s="7" t="str">
        <f aca="true">IF(M63="Opposition","Ne pas contacter",IF(AND(U63&lt;&gt;"",U63&lt;=TODAY()),"Relance 1 à envoyer",IF(AND(V63&lt;&gt;"",V63&lt;=TODAY()),"Relance 2 à envoyer",IF(AND(O63&lt;&gt;"",O63&lt;=TODAY()),"Rappel à faire",""))))</f>
        <v/>
      </c>
    </row>
    <row r="64" customFormat="false" ht="15" hidden="false" customHeight="false" outlineLevel="0" collapsed="false">
      <c r="A64" s="7" t="n">
        <v>63</v>
      </c>
      <c r="B64" s="8"/>
      <c r="C64" s="8"/>
      <c r="D64" s="7"/>
      <c r="E64" s="7"/>
      <c r="F64" s="8"/>
      <c r="G64" s="7"/>
      <c r="H64" s="7"/>
      <c r="I64" s="8"/>
      <c r="J64" s="9"/>
      <c r="K64" s="9"/>
      <c r="L64" s="7"/>
      <c r="M64" s="7"/>
      <c r="N64" s="8"/>
      <c r="O64" s="9"/>
      <c r="P64" s="9"/>
      <c r="Q64" s="9"/>
      <c r="R64" s="9"/>
      <c r="S64" s="8"/>
      <c r="T64" s="9" t="str">
        <f aca="false">IF(J64="","",EDATE(MAX(J64,K64,P64,Q64,R64),36))</f>
        <v/>
      </c>
      <c r="U64" s="9" t="str">
        <f aca="false">IF(OR(L64&lt;&gt;"Email",K64="",P64&lt;&gt;"",M64="Opposition",M64="Pas intéressé",M64="Client",M64="Rendez-vous pris",M64="Numéro erroné"),"",WORKDAY(K64,5))</f>
        <v/>
      </c>
      <c r="V64" s="9" t="str">
        <f aca="false">IF(OR(P64="",Q64&lt;&gt;"",M64="Opposition",M64="Pas intéressé",M64="Client",M64="Rendez-vous pris",M64="Numéro erroné"),"",WORKDAY(P64,7))</f>
        <v/>
      </c>
      <c r="W64" s="7" t="str">
        <f aca="true">IF(M64="Opposition","Ne pas contacter",IF(AND(U64&lt;&gt;"",U64&lt;=TODAY()),"Relance 1 à envoyer",IF(AND(V64&lt;&gt;"",V64&lt;=TODAY()),"Relance 2 à envoyer",IF(AND(O64&lt;&gt;"",O64&lt;=TODAY()),"Rappel à faire",""))))</f>
        <v/>
      </c>
    </row>
    <row r="65" customFormat="false" ht="15" hidden="false" customHeight="false" outlineLevel="0" collapsed="false">
      <c r="A65" s="7" t="n">
        <v>64</v>
      </c>
      <c r="B65" s="8"/>
      <c r="C65" s="8"/>
      <c r="D65" s="7"/>
      <c r="E65" s="7"/>
      <c r="F65" s="8"/>
      <c r="G65" s="7"/>
      <c r="H65" s="7"/>
      <c r="I65" s="8"/>
      <c r="J65" s="9"/>
      <c r="K65" s="9"/>
      <c r="L65" s="7"/>
      <c r="M65" s="7"/>
      <c r="N65" s="8"/>
      <c r="O65" s="9"/>
      <c r="P65" s="9"/>
      <c r="Q65" s="9"/>
      <c r="R65" s="9"/>
      <c r="S65" s="8"/>
      <c r="T65" s="9" t="str">
        <f aca="false">IF(J65="","",EDATE(MAX(J65,K65,P65,Q65,R65),36))</f>
        <v/>
      </c>
      <c r="U65" s="9" t="str">
        <f aca="false">IF(OR(L65&lt;&gt;"Email",K65="",P65&lt;&gt;"",M65="Opposition",M65="Pas intéressé",M65="Client",M65="Rendez-vous pris",M65="Numéro erroné"),"",WORKDAY(K65,5))</f>
        <v/>
      </c>
      <c r="V65" s="9" t="str">
        <f aca="false">IF(OR(P65="",Q65&lt;&gt;"",M65="Opposition",M65="Pas intéressé",M65="Client",M65="Rendez-vous pris",M65="Numéro erroné"),"",WORKDAY(P65,7))</f>
        <v/>
      </c>
      <c r="W65" s="7" t="str">
        <f aca="true">IF(M65="Opposition","Ne pas contacter",IF(AND(U65&lt;&gt;"",U65&lt;=TODAY()),"Relance 1 à envoyer",IF(AND(V65&lt;&gt;"",V65&lt;=TODAY()),"Relance 2 à envoyer",IF(AND(O65&lt;&gt;"",O65&lt;=TODAY()),"Rappel à faire",""))))</f>
        <v/>
      </c>
    </row>
    <row r="66" customFormat="false" ht="15" hidden="false" customHeight="false" outlineLevel="0" collapsed="false">
      <c r="A66" s="7" t="n">
        <v>65</v>
      </c>
      <c r="B66" s="8"/>
      <c r="C66" s="8"/>
      <c r="D66" s="7"/>
      <c r="E66" s="7"/>
      <c r="F66" s="8"/>
      <c r="G66" s="7"/>
      <c r="H66" s="7"/>
      <c r="I66" s="8"/>
      <c r="J66" s="9"/>
      <c r="K66" s="9"/>
      <c r="L66" s="7"/>
      <c r="M66" s="7"/>
      <c r="N66" s="8"/>
      <c r="O66" s="9"/>
      <c r="P66" s="9"/>
      <c r="Q66" s="9"/>
      <c r="R66" s="9"/>
      <c r="S66" s="8"/>
      <c r="T66" s="9" t="str">
        <f aca="false">IF(J66="","",EDATE(MAX(J66,K66,P66,Q66,R66),36))</f>
        <v/>
      </c>
      <c r="U66" s="9" t="str">
        <f aca="false">IF(OR(L66&lt;&gt;"Email",K66="",P66&lt;&gt;"",M66="Opposition",M66="Pas intéressé",M66="Client",M66="Rendez-vous pris",M66="Numéro erroné"),"",WORKDAY(K66,5))</f>
        <v/>
      </c>
      <c r="V66" s="9" t="str">
        <f aca="false">IF(OR(P66="",Q66&lt;&gt;"",M66="Opposition",M66="Pas intéressé",M66="Client",M66="Rendez-vous pris",M66="Numéro erroné"),"",WORKDAY(P66,7))</f>
        <v/>
      </c>
      <c r="W66" s="7" t="str">
        <f aca="true">IF(M66="Opposition","Ne pas contacter",IF(AND(U66&lt;&gt;"",U66&lt;=TODAY()),"Relance 1 à envoyer",IF(AND(V66&lt;&gt;"",V66&lt;=TODAY()),"Relance 2 à envoyer",IF(AND(O66&lt;&gt;"",O66&lt;=TODAY()),"Rappel à faire",""))))</f>
        <v/>
      </c>
    </row>
    <row r="67" customFormat="false" ht="15" hidden="false" customHeight="false" outlineLevel="0" collapsed="false">
      <c r="A67" s="7" t="n">
        <v>66</v>
      </c>
      <c r="B67" s="8"/>
      <c r="C67" s="8"/>
      <c r="D67" s="7"/>
      <c r="E67" s="7"/>
      <c r="F67" s="8"/>
      <c r="G67" s="7"/>
      <c r="H67" s="7"/>
      <c r="I67" s="8"/>
      <c r="J67" s="9"/>
      <c r="K67" s="9"/>
      <c r="L67" s="7"/>
      <c r="M67" s="7"/>
      <c r="N67" s="8"/>
      <c r="O67" s="9"/>
      <c r="P67" s="9"/>
      <c r="Q67" s="9"/>
      <c r="R67" s="9"/>
      <c r="S67" s="8"/>
      <c r="T67" s="9" t="str">
        <f aca="false">IF(J67="","",EDATE(MAX(J67,K67,P67,Q67,R67),36))</f>
        <v/>
      </c>
      <c r="U67" s="9" t="str">
        <f aca="false">IF(OR(L67&lt;&gt;"Email",K67="",P67&lt;&gt;"",M67="Opposition",M67="Pas intéressé",M67="Client",M67="Rendez-vous pris",M67="Numéro erroné"),"",WORKDAY(K67,5))</f>
        <v/>
      </c>
      <c r="V67" s="9" t="str">
        <f aca="false">IF(OR(P67="",Q67&lt;&gt;"",M67="Opposition",M67="Pas intéressé",M67="Client",M67="Rendez-vous pris",M67="Numéro erroné"),"",WORKDAY(P67,7))</f>
        <v/>
      </c>
      <c r="W67" s="7" t="str">
        <f aca="true">IF(M67="Opposition","Ne pas contacter",IF(AND(U67&lt;&gt;"",U67&lt;=TODAY()),"Relance 1 à envoyer",IF(AND(V67&lt;&gt;"",V67&lt;=TODAY()),"Relance 2 à envoyer",IF(AND(O67&lt;&gt;"",O67&lt;=TODAY()),"Rappel à faire",""))))</f>
        <v/>
      </c>
    </row>
    <row r="68" customFormat="false" ht="15" hidden="false" customHeight="false" outlineLevel="0" collapsed="false">
      <c r="A68" s="7" t="n">
        <v>67</v>
      </c>
      <c r="B68" s="8"/>
      <c r="C68" s="8"/>
      <c r="D68" s="7"/>
      <c r="E68" s="7"/>
      <c r="F68" s="8"/>
      <c r="G68" s="7"/>
      <c r="H68" s="7"/>
      <c r="I68" s="8"/>
      <c r="J68" s="9"/>
      <c r="K68" s="9"/>
      <c r="L68" s="7"/>
      <c r="M68" s="7"/>
      <c r="N68" s="8"/>
      <c r="O68" s="9"/>
      <c r="P68" s="9"/>
      <c r="Q68" s="9"/>
      <c r="R68" s="9"/>
      <c r="S68" s="8"/>
      <c r="T68" s="9" t="str">
        <f aca="false">IF(J68="","",EDATE(MAX(J68,K68,P68,Q68,R68),36))</f>
        <v/>
      </c>
      <c r="U68" s="9" t="str">
        <f aca="false">IF(OR(L68&lt;&gt;"Email",K68="",P68&lt;&gt;"",M68="Opposition",M68="Pas intéressé",M68="Client",M68="Rendez-vous pris",M68="Numéro erroné"),"",WORKDAY(K68,5))</f>
        <v/>
      </c>
      <c r="V68" s="9" t="str">
        <f aca="false">IF(OR(P68="",Q68&lt;&gt;"",M68="Opposition",M68="Pas intéressé",M68="Client",M68="Rendez-vous pris",M68="Numéro erroné"),"",WORKDAY(P68,7))</f>
        <v/>
      </c>
      <c r="W68" s="7" t="str">
        <f aca="true">IF(M68="Opposition","Ne pas contacter",IF(AND(U68&lt;&gt;"",U68&lt;=TODAY()),"Relance 1 à envoyer",IF(AND(V68&lt;&gt;"",V68&lt;=TODAY()),"Relance 2 à envoyer",IF(AND(O68&lt;&gt;"",O68&lt;=TODAY()),"Rappel à faire",""))))</f>
        <v/>
      </c>
    </row>
    <row r="69" customFormat="false" ht="15" hidden="false" customHeight="false" outlineLevel="0" collapsed="false">
      <c r="A69" s="7" t="n">
        <v>68</v>
      </c>
      <c r="B69" s="8"/>
      <c r="C69" s="8"/>
      <c r="D69" s="7"/>
      <c r="E69" s="7"/>
      <c r="F69" s="8"/>
      <c r="G69" s="7"/>
      <c r="H69" s="7"/>
      <c r="I69" s="8"/>
      <c r="J69" s="9"/>
      <c r="K69" s="9"/>
      <c r="L69" s="7"/>
      <c r="M69" s="7"/>
      <c r="N69" s="8"/>
      <c r="O69" s="9"/>
      <c r="P69" s="9"/>
      <c r="Q69" s="9"/>
      <c r="R69" s="9"/>
      <c r="S69" s="8"/>
      <c r="T69" s="9" t="str">
        <f aca="false">IF(J69="","",EDATE(MAX(J69,K69,P69,Q69,R69),36))</f>
        <v/>
      </c>
      <c r="U69" s="9" t="str">
        <f aca="false">IF(OR(L69&lt;&gt;"Email",K69="",P69&lt;&gt;"",M69="Opposition",M69="Pas intéressé",M69="Client",M69="Rendez-vous pris",M69="Numéro erroné"),"",WORKDAY(K69,5))</f>
        <v/>
      </c>
      <c r="V69" s="9" t="str">
        <f aca="false">IF(OR(P69="",Q69&lt;&gt;"",M69="Opposition",M69="Pas intéressé",M69="Client",M69="Rendez-vous pris",M69="Numéro erroné"),"",WORKDAY(P69,7))</f>
        <v/>
      </c>
      <c r="W69" s="7" t="str">
        <f aca="true">IF(M69="Opposition","Ne pas contacter",IF(AND(U69&lt;&gt;"",U69&lt;=TODAY()),"Relance 1 à envoyer",IF(AND(V69&lt;&gt;"",V69&lt;=TODAY()),"Relance 2 à envoyer",IF(AND(O69&lt;&gt;"",O69&lt;=TODAY()),"Rappel à faire",""))))</f>
        <v/>
      </c>
    </row>
    <row r="70" customFormat="false" ht="15" hidden="false" customHeight="false" outlineLevel="0" collapsed="false">
      <c r="A70" s="7" t="n">
        <v>69</v>
      </c>
      <c r="B70" s="8"/>
      <c r="C70" s="8"/>
      <c r="D70" s="7"/>
      <c r="E70" s="7"/>
      <c r="F70" s="8"/>
      <c r="G70" s="7"/>
      <c r="H70" s="7"/>
      <c r="I70" s="8"/>
      <c r="J70" s="9"/>
      <c r="K70" s="9"/>
      <c r="L70" s="7"/>
      <c r="M70" s="7"/>
      <c r="N70" s="8"/>
      <c r="O70" s="9"/>
      <c r="P70" s="9"/>
      <c r="Q70" s="9"/>
      <c r="R70" s="9"/>
      <c r="S70" s="8"/>
      <c r="T70" s="9" t="str">
        <f aca="false">IF(J70="","",EDATE(MAX(J70,K70,P70,Q70,R70),36))</f>
        <v/>
      </c>
      <c r="U70" s="9" t="str">
        <f aca="false">IF(OR(L70&lt;&gt;"Email",K70="",P70&lt;&gt;"",M70="Opposition",M70="Pas intéressé",M70="Client",M70="Rendez-vous pris",M70="Numéro erroné"),"",WORKDAY(K70,5))</f>
        <v/>
      </c>
      <c r="V70" s="9" t="str">
        <f aca="false">IF(OR(P70="",Q70&lt;&gt;"",M70="Opposition",M70="Pas intéressé",M70="Client",M70="Rendez-vous pris",M70="Numéro erroné"),"",WORKDAY(P70,7))</f>
        <v/>
      </c>
      <c r="W70" s="7" t="str">
        <f aca="true">IF(M70="Opposition","Ne pas contacter",IF(AND(U70&lt;&gt;"",U70&lt;=TODAY()),"Relance 1 à envoyer",IF(AND(V70&lt;&gt;"",V70&lt;=TODAY()),"Relance 2 à envoyer",IF(AND(O70&lt;&gt;"",O70&lt;=TODAY()),"Rappel à faire",""))))</f>
        <v/>
      </c>
    </row>
    <row r="71" customFormat="false" ht="15" hidden="false" customHeight="false" outlineLevel="0" collapsed="false">
      <c r="A71" s="7" t="n">
        <v>70</v>
      </c>
      <c r="B71" s="8"/>
      <c r="C71" s="8"/>
      <c r="D71" s="7"/>
      <c r="E71" s="7"/>
      <c r="F71" s="8"/>
      <c r="G71" s="7"/>
      <c r="H71" s="7"/>
      <c r="I71" s="8"/>
      <c r="J71" s="9"/>
      <c r="K71" s="9"/>
      <c r="L71" s="7"/>
      <c r="M71" s="7"/>
      <c r="N71" s="8"/>
      <c r="O71" s="9"/>
      <c r="P71" s="9"/>
      <c r="Q71" s="9"/>
      <c r="R71" s="9"/>
      <c r="S71" s="8"/>
      <c r="T71" s="9" t="str">
        <f aca="false">IF(J71="","",EDATE(MAX(J71,K71,P71,Q71,R71),36))</f>
        <v/>
      </c>
      <c r="U71" s="9" t="str">
        <f aca="false">IF(OR(L71&lt;&gt;"Email",K71="",P71&lt;&gt;"",M71="Opposition",M71="Pas intéressé",M71="Client",M71="Rendez-vous pris",M71="Numéro erroné"),"",WORKDAY(K71,5))</f>
        <v/>
      </c>
      <c r="V71" s="9" t="str">
        <f aca="false">IF(OR(P71="",Q71&lt;&gt;"",M71="Opposition",M71="Pas intéressé",M71="Client",M71="Rendez-vous pris",M71="Numéro erroné"),"",WORKDAY(P71,7))</f>
        <v/>
      </c>
      <c r="W71" s="7" t="str">
        <f aca="true">IF(M71="Opposition","Ne pas contacter",IF(AND(U71&lt;&gt;"",U71&lt;=TODAY()),"Relance 1 à envoyer",IF(AND(V71&lt;&gt;"",V71&lt;=TODAY()),"Relance 2 à envoyer",IF(AND(O71&lt;&gt;"",O71&lt;=TODAY()),"Rappel à faire",""))))</f>
        <v/>
      </c>
    </row>
    <row r="72" customFormat="false" ht="15" hidden="false" customHeight="false" outlineLevel="0" collapsed="false">
      <c r="A72" s="7" t="n">
        <v>71</v>
      </c>
      <c r="B72" s="8"/>
      <c r="C72" s="8"/>
      <c r="D72" s="7"/>
      <c r="E72" s="7"/>
      <c r="F72" s="8"/>
      <c r="G72" s="7"/>
      <c r="H72" s="7"/>
      <c r="I72" s="8"/>
      <c r="J72" s="9"/>
      <c r="K72" s="9"/>
      <c r="L72" s="7"/>
      <c r="M72" s="7"/>
      <c r="N72" s="8"/>
      <c r="O72" s="9"/>
      <c r="P72" s="9"/>
      <c r="Q72" s="9"/>
      <c r="R72" s="9"/>
      <c r="S72" s="8"/>
      <c r="T72" s="9" t="str">
        <f aca="false">IF(J72="","",EDATE(MAX(J72,K72,P72,Q72,R72),36))</f>
        <v/>
      </c>
      <c r="U72" s="9" t="str">
        <f aca="false">IF(OR(L72&lt;&gt;"Email",K72="",P72&lt;&gt;"",M72="Opposition",M72="Pas intéressé",M72="Client",M72="Rendez-vous pris",M72="Numéro erroné"),"",WORKDAY(K72,5))</f>
        <v/>
      </c>
      <c r="V72" s="9" t="str">
        <f aca="false">IF(OR(P72="",Q72&lt;&gt;"",M72="Opposition",M72="Pas intéressé",M72="Client",M72="Rendez-vous pris",M72="Numéro erroné"),"",WORKDAY(P72,7))</f>
        <v/>
      </c>
      <c r="W72" s="7" t="str">
        <f aca="true">IF(M72="Opposition","Ne pas contacter",IF(AND(U72&lt;&gt;"",U72&lt;=TODAY()),"Relance 1 à envoyer",IF(AND(V72&lt;&gt;"",V72&lt;=TODAY()),"Relance 2 à envoyer",IF(AND(O72&lt;&gt;"",O72&lt;=TODAY()),"Rappel à faire",""))))</f>
        <v/>
      </c>
    </row>
    <row r="73" customFormat="false" ht="15" hidden="false" customHeight="false" outlineLevel="0" collapsed="false">
      <c r="A73" s="7" t="n">
        <v>72</v>
      </c>
      <c r="B73" s="8"/>
      <c r="C73" s="8"/>
      <c r="D73" s="7"/>
      <c r="E73" s="7"/>
      <c r="F73" s="8"/>
      <c r="G73" s="7"/>
      <c r="H73" s="7"/>
      <c r="I73" s="8"/>
      <c r="J73" s="9"/>
      <c r="K73" s="9"/>
      <c r="L73" s="7"/>
      <c r="M73" s="7"/>
      <c r="N73" s="8"/>
      <c r="O73" s="9"/>
      <c r="P73" s="9"/>
      <c r="Q73" s="9"/>
      <c r="R73" s="9"/>
      <c r="S73" s="8"/>
      <c r="T73" s="9" t="str">
        <f aca="false">IF(J73="","",EDATE(MAX(J73,K73,P73,Q73,R73),36))</f>
        <v/>
      </c>
      <c r="U73" s="9" t="str">
        <f aca="false">IF(OR(L73&lt;&gt;"Email",K73="",P73&lt;&gt;"",M73="Opposition",M73="Pas intéressé",M73="Client",M73="Rendez-vous pris",M73="Numéro erroné"),"",WORKDAY(K73,5))</f>
        <v/>
      </c>
      <c r="V73" s="9" t="str">
        <f aca="false">IF(OR(P73="",Q73&lt;&gt;"",M73="Opposition",M73="Pas intéressé",M73="Client",M73="Rendez-vous pris",M73="Numéro erroné"),"",WORKDAY(P73,7))</f>
        <v/>
      </c>
      <c r="W73" s="7" t="str">
        <f aca="true">IF(M73="Opposition","Ne pas contacter",IF(AND(U73&lt;&gt;"",U73&lt;=TODAY()),"Relance 1 à envoyer",IF(AND(V73&lt;&gt;"",V73&lt;=TODAY()),"Relance 2 à envoyer",IF(AND(O73&lt;&gt;"",O73&lt;=TODAY()),"Rappel à faire",""))))</f>
        <v/>
      </c>
    </row>
    <row r="74" customFormat="false" ht="15" hidden="false" customHeight="false" outlineLevel="0" collapsed="false">
      <c r="A74" s="7" t="n">
        <v>73</v>
      </c>
      <c r="B74" s="8"/>
      <c r="C74" s="8"/>
      <c r="D74" s="7"/>
      <c r="E74" s="7"/>
      <c r="F74" s="8"/>
      <c r="G74" s="7"/>
      <c r="H74" s="7"/>
      <c r="I74" s="8"/>
      <c r="J74" s="9"/>
      <c r="K74" s="9"/>
      <c r="L74" s="7"/>
      <c r="M74" s="7"/>
      <c r="N74" s="8"/>
      <c r="O74" s="9"/>
      <c r="P74" s="9"/>
      <c r="Q74" s="9"/>
      <c r="R74" s="9"/>
      <c r="S74" s="8"/>
      <c r="T74" s="9" t="str">
        <f aca="false">IF(J74="","",EDATE(MAX(J74,K74,P74,Q74,R74),36))</f>
        <v/>
      </c>
      <c r="U74" s="9" t="str">
        <f aca="false">IF(OR(L74&lt;&gt;"Email",K74="",P74&lt;&gt;"",M74="Opposition",M74="Pas intéressé",M74="Client",M74="Rendez-vous pris",M74="Numéro erroné"),"",WORKDAY(K74,5))</f>
        <v/>
      </c>
      <c r="V74" s="9" t="str">
        <f aca="false">IF(OR(P74="",Q74&lt;&gt;"",M74="Opposition",M74="Pas intéressé",M74="Client",M74="Rendez-vous pris",M74="Numéro erroné"),"",WORKDAY(P74,7))</f>
        <v/>
      </c>
      <c r="W74" s="7" t="str">
        <f aca="true">IF(M74="Opposition","Ne pas contacter",IF(AND(U74&lt;&gt;"",U74&lt;=TODAY()),"Relance 1 à envoyer",IF(AND(V74&lt;&gt;"",V74&lt;=TODAY()),"Relance 2 à envoyer",IF(AND(O74&lt;&gt;"",O74&lt;=TODAY()),"Rappel à faire",""))))</f>
        <v/>
      </c>
    </row>
    <row r="75" customFormat="false" ht="15" hidden="false" customHeight="false" outlineLevel="0" collapsed="false">
      <c r="A75" s="7" t="n">
        <v>74</v>
      </c>
      <c r="B75" s="8"/>
      <c r="C75" s="8"/>
      <c r="D75" s="7"/>
      <c r="E75" s="7"/>
      <c r="F75" s="8"/>
      <c r="G75" s="7"/>
      <c r="H75" s="7"/>
      <c r="I75" s="8"/>
      <c r="J75" s="9"/>
      <c r="K75" s="9"/>
      <c r="L75" s="7"/>
      <c r="M75" s="7"/>
      <c r="N75" s="8"/>
      <c r="O75" s="9"/>
      <c r="P75" s="9"/>
      <c r="Q75" s="9"/>
      <c r="R75" s="9"/>
      <c r="S75" s="8"/>
      <c r="T75" s="9" t="str">
        <f aca="false">IF(J75="","",EDATE(MAX(J75,K75,P75,Q75,R75),36))</f>
        <v/>
      </c>
      <c r="U75" s="9" t="str">
        <f aca="false">IF(OR(L75&lt;&gt;"Email",K75="",P75&lt;&gt;"",M75="Opposition",M75="Pas intéressé",M75="Client",M75="Rendez-vous pris",M75="Numéro erroné"),"",WORKDAY(K75,5))</f>
        <v/>
      </c>
      <c r="V75" s="9" t="str">
        <f aca="false">IF(OR(P75="",Q75&lt;&gt;"",M75="Opposition",M75="Pas intéressé",M75="Client",M75="Rendez-vous pris",M75="Numéro erroné"),"",WORKDAY(P75,7))</f>
        <v/>
      </c>
      <c r="W75" s="7" t="str">
        <f aca="true">IF(M75="Opposition","Ne pas contacter",IF(AND(U75&lt;&gt;"",U75&lt;=TODAY()),"Relance 1 à envoyer",IF(AND(V75&lt;&gt;"",V75&lt;=TODAY()),"Relance 2 à envoyer",IF(AND(O75&lt;&gt;"",O75&lt;=TODAY()),"Rappel à faire",""))))</f>
        <v/>
      </c>
    </row>
    <row r="76" customFormat="false" ht="15" hidden="false" customHeight="false" outlineLevel="0" collapsed="false">
      <c r="A76" s="7" t="n">
        <v>75</v>
      </c>
      <c r="B76" s="8"/>
      <c r="C76" s="8"/>
      <c r="D76" s="7"/>
      <c r="E76" s="7"/>
      <c r="F76" s="8"/>
      <c r="G76" s="7"/>
      <c r="H76" s="7"/>
      <c r="I76" s="8"/>
      <c r="J76" s="9"/>
      <c r="K76" s="9"/>
      <c r="L76" s="7"/>
      <c r="M76" s="7"/>
      <c r="N76" s="8"/>
      <c r="O76" s="9"/>
      <c r="P76" s="9"/>
      <c r="Q76" s="9"/>
      <c r="R76" s="9"/>
      <c r="S76" s="8"/>
      <c r="T76" s="9" t="str">
        <f aca="false">IF(J76="","",EDATE(MAX(J76,K76,P76,Q76,R76),36))</f>
        <v/>
      </c>
      <c r="U76" s="9" t="str">
        <f aca="false">IF(OR(L76&lt;&gt;"Email",K76="",P76&lt;&gt;"",M76="Opposition",M76="Pas intéressé",M76="Client",M76="Rendez-vous pris",M76="Numéro erroné"),"",WORKDAY(K76,5))</f>
        <v/>
      </c>
      <c r="V76" s="9" t="str">
        <f aca="false">IF(OR(P76="",Q76&lt;&gt;"",M76="Opposition",M76="Pas intéressé",M76="Client",M76="Rendez-vous pris",M76="Numéro erroné"),"",WORKDAY(P76,7))</f>
        <v/>
      </c>
      <c r="W76" s="7" t="str">
        <f aca="true">IF(M76="Opposition","Ne pas contacter",IF(AND(U76&lt;&gt;"",U76&lt;=TODAY()),"Relance 1 à envoyer",IF(AND(V76&lt;&gt;"",V76&lt;=TODAY()),"Relance 2 à envoyer",IF(AND(O76&lt;&gt;"",O76&lt;=TODAY()),"Rappel à faire",""))))</f>
        <v/>
      </c>
    </row>
    <row r="77" customFormat="false" ht="15" hidden="false" customHeight="false" outlineLevel="0" collapsed="false">
      <c r="A77" s="7" t="n">
        <v>76</v>
      </c>
      <c r="B77" s="8"/>
      <c r="C77" s="8"/>
      <c r="D77" s="7"/>
      <c r="E77" s="7"/>
      <c r="F77" s="8"/>
      <c r="G77" s="7"/>
      <c r="H77" s="7"/>
      <c r="I77" s="8"/>
      <c r="J77" s="9"/>
      <c r="K77" s="9"/>
      <c r="L77" s="7"/>
      <c r="M77" s="7"/>
      <c r="N77" s="8"/>
      <c r="O77" s="9"/>
      <c r="P77" s="9"/>
      <c r="Q77" s="9"/>
      <c r="R77" s="9"/>
      <c r="S77" s="8"/>
      <c r="T77" s="9" t="str">
        <f aca="false">IF(J77="","",EDATE(MAX(J77,K77,P77,Q77,R77),36))</f>
        <v/>
      </c>
      <c r="U77" s="9" t="str">
        <f aca="false">IF(OR(L77&lt;&gt;"Email",K77="",P77&lt;&gt;"",M77="Opposition",M77="Pas intéressé",M77="Client",M77="Rendez-vous pris",M77="Numéro erroné"),"",WORKDAY(K77,5))</f>
        <v/>
      </c>
      <c r="V77" s="9" t="str">
        <f aca="false">IF(OR(P77="",Q77&lt;&gt;"",M77="Opposition",M77="Pas intéressé",M77="Client",M77="Rendez-vous pris",M77="Numéro erroné"),"",WORKDAY(P77,7))</f>
        <v/>
      </c>
      <c r="W77" s="7" t="str">
        <f aca="true">IF(M77="Opposition","Ne pas contacter",IF(AND(U77&lt;&gt;"",U77&lt;=TODAY()),"Relance 1 à envoyer",IF(AND(V77&lt;&gt;"",V77&lt;=TODAY()),"Relance 2 à envoyer",IF(AND(O77&lt;&gt;"",O77&lt;=TODAY()),"Rappel à faire",""))))</f>
        <v/>
      </c>
    </row>
    <row r="78" customFormat="false" ht="15" hidden="false" customHeight="false" outlineLevel="0" collapsed="false">
      <c r="A78" s="7" t="n">
        <v>77</v>
      </c>
      <c r="B78" s="8"/>
      <c r="C78" s="8"/>
      <c r="D78" s="7"/>
      <c r="E78" s="7"/>
      <c r="F78" s="8"/>
      <c r="G78" s="7"/>
      <c r="H78" s="7"/>
      <c r="I78" s="8"/>
      <c r="J78" s="9"/>
      <c r="K78" s="9"/>
      <c r="L78" s="7"/>
      <c r="M78" s="7"/>
      <c r="N78" s="8"/>
      <c r="O78" s="9"/>
      <c r="P78" s="9"/>
      <c r="Q78" s="9"/>
      <c r="R78" s="9"/>
      <c r="S78" s="8"/>
      <c r="T78" s="9" t="str">
        <f aca="false">IF(J78="","",EDATE(MAX(J78,K78,P78,Q78,R78),36))</f>
        <v/>
      </c>
      <c r="U78" s="9" t="str">
        <f aca="false">IF(OR(L78&lt;&gt;"Email",K78="",P78&lt;&gt;"",M78="Opposition",M78="Pas intéressé",M78="Client",M78="Rendez-vous pris",M78="Numéro erroné"),"",WORKDAY(K78,5))</f>
        <v/>
      </c>
      <c r="V78" s="9" t="str">
        <f aca="false">IF(OR(P78="",Q78&lt;&gt;"",M78="Opposition",M78="Pas intéressé",M78="Client",M78="Rendez-vous pris",M78="Numéro erroné"),"",WORKDAY(P78,7))</f>
        <v/>
      </c>
      <c r="W78" s="7" t="str">
        <f aca="true">IF(M78="Opposition","Ne pas contacter",IF(AND(U78&lt;&gt;"",U78&lt;=TODAY()),"Relance 1 à envoyer",IF(AND(V78&lt;&gt;"",V78&lt;=TODAY()),"Relance 2 à envoyer",IF(AND(O78&lt;&gt;"",O78&lt;=TODAY()),"Rappel à faire",""))))</f>
        <v/>
      </c>
    </row>
    <row r="79" customFormat="false" ht="15" hidden="false" customHeight="false" outlineLevel="0" collapsed="false">
      <c r="A79" s="7" t="n">
        <v>78</v>
      </c>
      <c r="B79" s="8"/>
      <c r="C79" s="8"/>
      <c r="D79" s="7"/>
      <c r="E79" s="7"/>
      <c r="F79" s="8"/>
      <c r="G79" s="7"/>
      <c r="H79" s="7"/>
      <c r="I79" s="8"/>
      <c r="J79" s="9"/>
      <c r="K79" s="9"/>
      <c r="L79" s="7"/>
      <c r="M79" s="7"/>
      <c r="N79" s="8"/>
      <c r="O79" s="9"/>
      <c r="P79" s="9"/>
      <c r="Q79" s="9"/>
      <c r="R79" s="9"/>
      <c r="S79" s="8"/>
      <c r="T79" s="9" t="str">
        <f aca="false">IF(J79="","",EDATE(MAX(J79,K79,P79,Q79,R79),36))</f>
        <v/>
      </c>
      <c r="U79" s="9" t="str">
        <f aca="false">IF(OR(L79&lt;&gt;"Email",K79="",P79&lt;&gt;"",M79="Opposition",M79="Pas intéressé",M79="Client",M79="Rendez-vous pris",M79="Numéro erroné"),"",WORKDAY(K79,5))</f>
        <v/>
      </c>
      <c r="V79" s="9" t="str">
        <f aca="false">IF(OR(P79="",Q79&lt;&gt;"",M79="Opposition",M79="Pas intéressé",M79="Client",M79="Rendez-vous pris",M79="Numéro erroné"),"",WORKDAY(P79,7))</f>
        <v/>
      </c>
      <c r="W79" s="7" t="str">
        <f aca="true">IF(M79="Opposition","Ne pas contacter",IF(AND(U79&lt;&gt;"",U79&lt;=TODAY()),"Relance 1 à envoyer",IF(AND(V79&lt;&gt;"",V79&lt;=TODAY()),"Relance 2 à envoyer",IF(AND(O79&lt;&gt;"",O79&lt;=TODAY()),"Rappel à faire",""))))</f>
        <v/>
      </c>
    </row>
    <row r="80" customFormat="false" ht="15" hidden="false" customHeight="false" outlineLevel="0" collapsed="false">
      <c r="A80" s="7" t="n">
        <v>79</v>
      </c>
      <c r="B80" s="8"/>
      <c r="C80" s="8"/>
      <c r="D80" s="7"/>
      <c r="E80" s="7"/>
      <c r="F80" s="8"/>
      <c r="G80" s="7"/>
      <c r="H80" s="7"/>
      <c r="I80" s="8"/>
      <c r="J80" s="9"/>
      <c r="K80" s="9"/>
      <c r="L80" s="7"/>
      <c r="M80" s="7"/>
      <c r="N80" s="8"/>
      <c r="O80" s="9"/>
      <c r="P80" s="9"/>
      <c r="Q80" s="9"/>
      <c r="R80" s="9"/>
      <c r="S80" s="8"/>
      <c r="T80" s="9" t="str">
        <f aca="false">IF(J80="","",EDATE(MAX(J80,K80,P80,Q80,R80),36))</f>
        <v/>
      </c>
      <c r="U80" s="9" t="str">
        <f aca="false">IF(OR(L80&lt;&gt;"Email",K80="",P80&lt;&gt;"",M80="Opposition",M80="Pas intéressé",M80="Client",M80="Rendez-vous pris",M80="Numéro erroné"),"",WORKDAY(K80,5))</f>
        <v/>
      </c>
      <c r="V80" s="9" t="str">
        <f aca="false">IF(OR(P80="",Q80&lt;&gt;"",M80="Opposition",M80="Pas intéressé",M80="Client",M80="Rendez-vous pris",M80="Numéro erroné"),"",WORKDAY(P80,7))</f>
        <v/>
      </c>
      <c r="W80" s="7" t="str">
        <f aca="true">IF(M80="Opposition","Ne pas contacter",IF(AND(U80&lt;&gt;"",U80&lt;=TODAY()),"Relance 1 à envoyer",IF(AND(V80&lt;&gt;"",V80&lt;=TODAY()),"Relance 2 à envoyer",IF(AND(O80&lt;&gt;"",O80&lt;=TODAY()),"Rappel à faire",""))))</f>
        <v/>
      </c>
    </row>
    <row r="81" customFormat="false" ht="15" hidden="false" customHeight="false" outlineLevel="0" collapsed="false">
      <c r="A81" s="7" t="n">
        <v>80</v>
      </c>
      <c r="B81" s="8"/>
      <c r="C81" s="8"/>
      <c r="D81" s="7"/>
      <c r="E81" s="7"/>
      <c r="F81" s="8"/>
      <c r="G81" s="7"/>
      <c r="H81" s="7"/>
      <c r="I81" s="8"/>
      <c r="J81" s="9"/>
      <c r="K81" s="9"/>
      <c r="L81" s="7"/>
      <c r="M81" s="7"/>
      <c r="N81" s="8"/>
      <c r="O81" s="9"/>
      <c r="P81" s="9"/>
      <c r="Q81" s="9"/>
      <c r="R81" s="9"/>
      <c r="S81" s="8"/>
      <c r="T81" s="9" t="str">
        <f aca="false">IF(J81="","",EDATE(MAX(J81,K81,P81,Q81,R81),36))</f>
        <v/>
      </c>
      <c r="U81" s="9" t="str">
        <f aca="false">IF(OR(L81&lt;&gt;"Email",K81="",P81&lt;&gt;"",M81="Opposition",M81="Pas intéressé",M81="Client",M81="Rendez-vous pris",M81="Numéro erroné"),"",WORKDAY(K81,5))</f>
        <v/>
      </c>
      <c r="V81" s="9" t="str">
        <f aca="false">IF(OR(P81="",Q81&lt;&gt;"",M81="Opposition",M81="Pas intéressé",M81="Client",M81="Rendez-vous pris",M81="Numéro erroné"),"",WORKDAY(P81,7))</f>
        <v/>
      </c>
      <c r="W81" s="7" t="str">
        <f aca="true">IF(M81="Opposition","Ne pas contacter",IF(AND(U81&lt;&gt;"",U81&lt;=TODAY()),"Relance 1 à envoyer",IF(AND(V81&lt;&gt;"",V81&lt;=TODAY()),"Relance 2 à envoyer",IF(AND(O81&lt;&gt;"",O81&lt;=TODAY()),"Rappel à faire",""))))</f>
        <v/>
      </c>
    </row>
    <row r="82" customFormat="false" ht="15" hidden="false" customHeight="false" outlineLevel="0" collapsed="false">
      <c r="A82" s="7" t="n">
        <v>81</v>
      </c>
      <c r="B82" s="8"/>
      <c r="C82" s="8"/>
      <c r="D82" s="7"/>
      <c r="E82" s="7"/>
      <c r="F82" s="8"/>
      <c r="G82" s="7"/>
      <c r="H82" s="7"/>
      <c r="I82" s="8"/>
      <c r="J82" s="9"/>
      <c r="K82" s="9"/>
      <c r="L82" s="7"/>
      <c r="M82" s="7"/>
      <c r="N82" s="8"/>
      <c r="O82" s="9"/>
      <c r="P82" s="9"/>
      <c r="Q82" s="9"/>
      <c r="R82" s="9"/>
      <c r="S82" s="8"/>
      <c r="T82" s="9" t="str">
        <f aca="false">IF(J82="","",EDATE(MAX(J82,K82,P82,Q82,R82),36))</f>
        <v/>
      </c>
      <c r="U82" s="9" t="str">
        <f aca="false">IF(OR(L82&lt;&gt;"Email",K82="",P82&lt;&gt;"",M82="Opposition",M82="Pas intéressé",M82="Client",M82="Rendez-vous pris",M82="Numéro erroné"),"",WORKDAY(K82,5))</f>
        <v/>
      </c>
      <c r="V82" s="9" t="str">
        <f aca="false">IF(OR(P82="",Q82&lt;&gt;"",M82="Opposition",M82="Pas intéressé",M82="Client",M82="Rendez-vous pris",M82="Numéro erroné"),"",WORKDAY(P82,7))</f>
        <v/>
      </c>
      <c r="W82" s="7" t="str">
        <f aca="true">IF(M82="Opposition","Ne pas contacter",IF(AND(U82&lt;&gt;"",U82&lt;=TODAY()),"Relance 1 à envoyer",IF(AND(V82&lt;&gt;"",V82&lt;=TODAY()),"Relance 2 à envoyer",IF(AND(O82&lt;&gt;"",O82&lt;=TODAY()),"Rappel à faire",""))))</f>
        <v/>
      </c>
    </row>
    <row r="83" customFormat="false" ht="15" hidden="false" customHeight="false" outlineLevel="0" collapsed="false">
      <c r="A83" s="7" t="n">
        <v>82</v>
      </c>
      <c r="B83" s="8"/>
      <c r="C83" s="8"/>
      <c r="D83" s="7"/>
      <c r="E83" s="7"/>
      <c r="F83" s="8"/>
      <c r="G83" s="7"/>
      <c r="H83" s="7"/>
      <c r="I83" s="8"/>
      <c r="J83" s="9"/>
      <c r="K83" s="9"/>
      <c r="L83" s="7"/>
      <c r="M83" s="7"/>
      <c r="N83" s="8"/>
      <c r="O83" s="9"/>
      <c r="P83" s="9"/>
      <c r="Q83" s="9"/>
      <c r="R83" s="9"/>
      <c r="S83" s="8"/>
      <c r="T83" s="9" t="str">
        <f aca="false">IF(J83="","",EDATE(MAX(J83,K83,P83,Q83,R83),36))</f>
        <v/>
      </c>
      <c r="U83" s="9" t="str">
        <f aca="false">IF(OR(L83&lt;&gt;"Email",K83="",P83&lt;&gt;"",M83="Opposition",M83="Pas intéressé",M83="Client",M83="Rendez-vous pris",M83="Numéro erroné"),"",WORKDAY(K83,5))</f>
        <v/>
      </c>
      <c r="V83" s="9" t="str">
        <f aca="false">IF(OR(P83="",Q83&lt;&gt;"",M83="Opposition",M83="Pas intéressé",M83="Client",M83="Rendez-vous pris",M83="Numéro erroné"),"",WORKDAY(P83,7))</f>
        <v/>
      </c>
      <c r="W83" s="7" t="str">
        <f aca="true">IF(M83="Opposition","Ne pas contacter",IF(AND(U83&lt;&gt;"",U83&lt;=TODAY()),"Relance 1 à envoyer",IF(AND(V83&lt;&gt;"",V83&lt;=TODAY()),"Relance 2 à envoyer",IF(AND(O83&lt;&gt;"",O83&lt;=TODAY()),"Rappel à faire",""))))</f>
        <v/>
      </c>
    </row>
    <row r="84" customFormat="false" ht="15" hidden="false" customHeight="false" outlineLevel="0" collapsed="false">
      <c r="A84" s="7" t="n">
        <v>83</v>
      </c>
      <c r="B84" s="8"/>
      <c r="C84" s="8"/>
      <c r="D84" s="7"/>
      <c r="E84" s="7"/>
      <c r="F84" s="8"/>
      <c r="G84" s="7"/>
      <c r="H84" s="7"/>
      <c r="I84" s="8"/>
      <c r="J84" s="9"/>
      <c r="K84" s="9"/>
      <c r="L84" s="7"/>
      <c r="M84" s="7"/>
      <c r="N84" s="8"/>
      <c r="O84" s="9"/>
      <c r="P84" s="9"/>
      <c r="Q84" s="9"/>
      <c r="R84" s="9"/>
      <c r="S84" s="8"/>
      <c r="T84" s="9" t="str">
        <f aca="false">IF(J84="","",EDATE(MAX(J84,K84,P84,Q84,R84),36))</f>
        <v/>
      </c>
      <c r="U84" s="9" t="str">
        <f aca="false">IF(OR(L84&lt;&gt;"Email",K84="",P84&lt;&gt;"",M84="Opposition",M84="Pas intéressé",M84="Client",M84="Rendez-vous pris",M84="Numéro erroné"),"",WORKDAY(K84,5))</f>
        <v/>
      </c>
      <c r="V84" s="9" t="str">
        <f aca="false">IF(OR(P84="",Q84&lt;&gt;"",M84="Opposition",M84="Pas intéressé",M84="Client",M84="Rendez-vous pris",M84="Numéro erroné"),"",WORKDAY(P84,7))</f>
        <v/>
      </c>
      <c r="W84" s="7" t="str">
        <f aca="true">IF(M84="Opposition","Ne pas contacter",IF(AND(U84&lt;&gt;"",U84&lt;=TODAY()),"Relance 1 à envoyer",IF(AND(V84&lt;&gt;"",V84&lt;=TODAY()),"Relance 2 à envoyer",IF(AND(O84&lt;&gt;"",O84&lt;=TODAY()),"Rappel à faire",""))))</f>
        <v/>
      </c>
    </row>
    <row r="85" customFormat="false" ht="15" hidden="false" customHeight="false" outlineLevel="0" collapsed="false">
      <c r="A85" s="7" t="n">
        <v>84</v>
      </c>
      <c r="B85" s="8"/>
      <c r="C85" s="8"/>
      <c r="D85" s="7"/>
      <c r="E85" s="7"/>
      <c r="F85" s="8"/>
      <c r="G85" s="7"/>
      <c r="H85" s="7"/>
      <c r="I85" s="8"/>
      <c r="J85" s="9"/>
      <c r="K85" s="9"/>
      <c r="L85" s="7"/>
      <c r="M85" s="7"/>
      <c r="N85" s="8"/>
      <c r="O85" s="9"/>
      <c r="P85" s="9"/>
      <c r="Q85" s="9"/>
      <c r="R85" s="9"/>
      <c r="S85" s="8"/>
      <c r="T85" s="9" t="str">
        <f aca="false">IF(J85="","",EDATE(MAX(J85,K85,P85,Q85,R85),36))</f>
        <v/>
      </c>
      <c r="U85" s="9" t="str">
        <f aca="false">IF(OR(L85&lt;&gt;"Email",K85="",P85&lt;&gt;"",M85="Opposition",M85="Pas intéressé",M85="Client",M85="Rendez-vous pris",M85="Numéro erroné"),"",WORKDAY(K85,5))</f>
        <v/>
      </c>
      <c r="V85" s="9" t="str">
        <f aca="false">IF(OR(P85="",Q85&lt;&gt;"",M85="Opposition",M85="Pas intéressé",M85="Client",M85="Rendez-vous pris",M85="Numéro erroné"),"",WORKDAY(P85,7))</f>
        <v/>
      </c>
      <c r="W85" s="7" t="str">
        <f aca="true">IF(M85="Opposition","Ne pas contacter",IF(AND(U85&lt;&gt;"",U85&lt;=TODAY()),"Relance 1 à envoyer",IF(AND(V85&lt;&gt;"",V85&lt;=TODAY()),"Relance 2 à envoyer",IF(AND(O85&lt;&gt;"",O85&lt;=TODAY()),"Rappel à faire",""))))</f>
        <v/>
      </c>
    </row>
    <row r="86" customFormat="false" ht="15" hidden="false" customHeight="false" outlineLevel="0" collapsed="false">
      <c r="A86" s="7" t="n">
        <v>85</v>
      </c>
      <c r="B86" s="8"/>
      <c r="C86" s="8"/>
      <c r="D86" s="7"/>
      <c r="E86" s="7"/>
      <c r="F86" s="8"/>
      <c r="G86" s="7"/>
      <c r="H86" s="7"/>
      <c r="I86" s="8"/>
      <c r="J86" s="9"/>
      <c r="K86" s="9"/>
      <c r="L86" s="7"/>
      <c r="M86" s="7"/>
      <c r="N86" s="8"/>
      <c r="O86" s="9"/>
      <c r="P86" s="9"/>
      <c r="Q86" s="9"/>
      <c r="R86" s="9"/>
      <c r="S86" s="8"/>
      <c r="T86" s="9" t="str">
        <f aca="false">IF(J86="","",EDATE(MAX(J86,K86,P86,Q86,R86),36))</f>
        <v/>
      </c>
      <c r="U86" s="9" t="str">
        <f aca="false">IF(OR(L86&lt;&gt;"Email",K86="",P86&lt;&gt;"",M86="Opposition",M86="Pas intéressé",M86="Client",M86="Rendez-vous pris",M86="Numéro erroné"),"",WORKDAY(K86,5))</f>
        <v/>
      </c>
      <c r="V86" s="9" t="str">
        <f aca="false">IF(OR(P86="",Q86&lt;&gt;"",M86="Opposition",M86="Pas intéressé",M86="Client",M86="Rendez-vous pris",M86="Numéro erroné"),"",WORKDAY(P86,7))</f>
        <v/>
      </c>
      <c r="W86" s="7" t="str">
        <f aca="true">IF(M86="Opposition","Ne pas contacter",IF(AND(U86&lt;&gt;"",U86&lt;=TODAY()),"Relance 1 à envoyer",IF(AND(V86&lt;&gt;"",V86&lt;=TODAY()),"Relance 2 à envoyer",IF(AND(O86&lt;&gt;"",O86&lt;=TODAY()),"Rappel à faire",""))))</f>
        <v/>
      </c>
    </row>
    <row r="87" customFormat="false" ht="15" hidden="false" customHeight="false" outlineLevel="0" collapsed="false">
      <c r="A87" s="7" t="n">
        <v>86</v>
      </c>
      <c r="B87" s="8"/>
      <c r="C87" s="8"/>
      <c r="D87" s="7"/>
      <c r="E87" s="7"/>
      <c r="F87" s="8"/>
      <c r="G87" s="7"/>
      <c r="H87" s="7"/>
      <c r="I87" s="8"/>
      <c r="J87" s="9"/>
      <c r="K87" s="9"/>
      <c r="L87" s="7"/>
      <c r="M87" s="7"/>
      <c r="N87" s="8"/>
      <c r="O87" s="9"/>
      <c r="P87" s="9"/>
      <c r="Q87" s="9"/>
      <c r="R87" s="9"/>
      <c r="S87" s="8"/>
      <c r="T87" s="9" t="str">
        <f aca="false">IF(J87="","",EDATE(MAX(J87,K87,P87,Q87,R87),36))</f>
        <v/>
      </c>
      <c r="U87" s="9" t="str">
        <f aca="false">IF(OR(L87&lt;&gt;"Email",K87="",P87&lt;&gt;"",M87="Opposition",M87="Pas intéressé",M87="Client",M87="Rendez-vous pris",M87="Numéro erroné"),"",WORKDAY(K87,5))</f>
        <v/>
      </c>
      <c r="V87" s="9" t="str">
        <f aca="false">IF(OR(P87="",Q87&lt;&gt;"",M87="Opposition",M87="Pas intéressé",M87="Client",M87="Rendez-vous pris",M87="Numéro erroné"),"",WORKDAY(P87,7))</f>
        <v/>
      </c>
      <c r="W87" s="7" t="str">
        <f aca="true">IF(M87="Opposition","Ne pas contacter",IF(AND(U87&lt;&gt;"",U87&lt;=TODAY()),"Relance 1 à envoyer",IF(AND(V87&lt;&gt;"",V87&lt;=TODAY()),"Relance 2 à envoyer",IF(AND(O87&lt;&gt;"",O87&lt;=TODAY()),"Rappel à faire",""))))</f>
        <v/>
      </c>
    </row>
    <row r="88" customFormat="false" ht="15" hidden="false" customHeight="false" outlineLevel="0" collapsed="false">
      <c r="A88" s="7" t="n">
        <v>87</v>
      </c>
      <c r="B88" s="8"/>
      <c r="C88" s="8"/>
      <c r="D88" s="7"/>
      <c r="E88" s="7"/>
      <c r="F88" s="8"/>
      <c r="G88" s="7"/>
      <c r="H88" s="7"/>
      <c r="I88" s="8"/>
      <c r="J88" s="9"/>
      <c r="K88" s="9"/>
      <c r="L88" s="7"/>
      <c r="M88" s="7"/>
      <c r="N88" s="8"/>
      <c r="O88" s="9"/>
      <c r="P88" s="9"/>
      <c r="Q88" s="9"/>
      <c r="R88" s="9"/>
      <c r="S88" s="8"/>
      <c r="T88" s="9" t="str">
        <f aca="false">IF(J88="","",EDATE(MAX(J88,K88,P88,Q88,R88),36))</f>
        <v/>
      </c>
      <c r="U88" s="9" t="str">
        <f aca="false">IF(OR(L88&lt;&gt;"Email",K88="",P88&lt;&gt;"",M88="Opposition",M88="Pas intéressé",M88="Client",M88="Rendez-vous pris",M88="Numéro erroné"),"",WORKDAY(K88,5))</f>
        <v/>
      </c>
      <c r="V88" s="9" t="str">
        <f aca="false">IF(OR(P88="",Q88&lt;&gt;"",M88="Opposition",M88="Pas intéressé",M88="Client",M88="Rendez-vous pris",M88="Numéro erroné"),"",WORKDAY(P88,7))</f>
        <v/>
      </c>
      <c r="W88" s="7" t="str">
        <f aca="true">IF(M88="Opposition","Ne pas contacter",IF(AND(U88&lt;&gt;"",U88&lt;=TODAY()),"Relance 1 à envoyer",IF(AND(V88&lt;&gt;"",V88&lt;=TODAY()),"Relance 2 à envoyer",IF(AND(O88&lt;&gt;"",O88&lt;=TODAY()),"Rappel à faire",""))))</f>
        <v/>
      </c>
    </row>
    <row r="89" customFormat="false" ht="15" hidden="false" customHeight="false" outlineLevel="0" collapsed="false">
      <c r="A89" s="7" t="n">
        <v>88</v>
      </c>
      <c r="B89" s="8"/>
      <c r="C89" s="8"/>
      <c r="D89" s="7"/>
      <c r="E89" s="7"/>
      <c r="F89" s="8"/>
      <c r="G89" s="7"/>
      <c r="H89" s="7"/>
      <c r="I89" s="8"/>
      <c r="J89" s="9"/>
      <c r="K89" s="9"/>
      <c r="L89" s="7"/>
      <c r="M89" s="7"/>
      <c r="N89" s="8"/>
      <c r="O89" s="9"/>
      <c r="P89" s="9"/>
      <c r="Q89" s="9"/>
      <c r="R89" s="9"/>
      <c r="S89" s="8"/>
      <c r="T89" s="9" t="str">
        <f aca="false">IF(J89="","",EDATE(MAX(J89,K89,P89,Q89,R89),36))</f>
        <v/>
      </c>
      <c r="U89" s="9" t="str">
        <f aca="false">IF(OR(L89&lt;&gt;"Email",K89="",P89&lt;&gt;"",M89="Opposition",M89="Pas intéressé",M89="Client",M89="Rendez-vous pris",M89="Numéro erroné"),"",WORKDAY(K89,5))</f>
        <v/>
      </c>
      <c r="V89" s="9" t="str">
        <f aca="false">IF(OR(P89="",Q89&lt;&gt;"",M89="Opposition",M89="Pas intéressé",M89="Client",M89="Rendez-vous pris",M89="Numéro erroné"),"",WORKDAY(P89,7))</f>
        <v/>
      </c>
      <c r="W89" s="7" t="str">
        <f aca="true">IF(M89="Opposition","Ne pas contacter",IF(AND(U89&lt;&gt;"",U89&lt;=TODAY()),"Relance 1 à envoyer",IF(AND(V89&lt;&gt;"",V89&lt;=TODAY()),"Relance 2 à envoyer",IF(AND(O89&lt;&gt;"",O89&lt;=TODAY()),"Rappel à faire",""))))</f>
        <v/>
      </c>
    </row>
    <row r="90" customFormat="false" ht="15" hidden="false" customHeight="false" outlineLevel="0" collapsed="false">
      <c r="A90" s="7" t="n">
        <v>89</v>
      </c>
      <c r="B90" s="8"/>
      <c r="C90" s="8"/>
      <c r="D90" s="7"/>
      <c r="E90" s="7"/>
      <c r="F90" s="8"/>
      <c r="G90" s="7"/>
      <c r="H90" s="7"/>
      <c r="I90" s="8"/>
      <c r="J90" s="9"/>
      <c r="K90" s="9"/>
      <c r="L90" s="7"/>
      <c r="M90" s="7"/>
      <c r="N90" s="8"/>
      <c r="O90" s="9"/>
      <c r="P90" s="9"/>
      <c r="Q90" s="9"/>
      <c r="R90" s="9"/>
      <c r="S90" s="8"/>
      <c r="T90" s="9" t="str">
        <f aca="false">IF(J90="","",EDATE(MAX(J90,K90,P90,Q90,R90),36))</f>
        <v/>
      </c>
      <c r="U90" s="9" t="str">
        <f aca="false">IF(OR(L90&lt;&gt;"Email",K90="",P90&lt;&gt;"",M90="Opposition",M90="Pas intéressé",M90="Client",M90="Rendez-vous pris",M90="Numéro erroné"),"",WORKDAY(K90,5))</f>
        <v/>
      </c>
      <c r="V90" s="9" t="str">
        <f aca="false">IF(OR(P90="",Q90&lt;&gt;"",M90="Opposition",M90="Pas intéressé",M90="Client",M90="Rendez-vous pris",M90="Numéro erroné"),"",WORKDAY(P90,7))</f>
        <v/>
      </c>
      <c r="W90" s="7" t="str">
        <f aca="true">IF(M90="Opposition","Ne pas contacter",IF(AND(U90&lt;&gt;"",U90&lt;=TODAY()),"Relance 1 à envoyer",IF(AND(V90&lt;&gt;"",V90&lt;=TODAY()),"Relance 2 à envoyer",IF(AND(O90&lt;&gt;"",O90&lt;=TODAY()),"Rappel à faire",""))))</f>
        <v/>
      </c>
    </row>
    <row r="91" customFormat="false" ht="15" hidden="false" customHeight="false" outlineLevel="0" collapsed="false">
      <c r="A91" s="7" t="n">
        <v>90</v>
      </c>
      <c r="B91" s="8"/>
      <c r="C91" s="8"/>
      <c r="D91" s="7"/>
      <c r="E91" s="7"/>
      <c r="F91" s="8"/>
      <c r="G91" s="7"/>
      <c r="H91" s="7"/>
      <c r="I91" s="8"/>
      <c r="J91" s="9"/>
      <c r="K91" s="9"/>
      <c r="L91" s="7"/>
      <c r="M91" s="7"/>
      <c r="N91" s="8"/>
      <c r="O91" s="9"/>
      <c r="P91" s="9"/>
      <c r="Q91" s="9"/>
      <c r="R91" s="9"/>
      <c r="S91" s="8"/>
      <c r="T91" s="9" t="str">
        <f aca="false">IF(J91="","",EDATE(MAX(J91,K91,P91,Q91,R91),36))</f>
        <v/>
      </c>
      <c r="U91" s="9" t="str">
        <f aca="false">IF(OR(L91&lt;&gt;"Email",K91="",P91&lt;&gt;"",M91="Opposition",M91="Pas intéressé",M91="Client",M91="Rendez-vous pris",M91="Numéro erroné"),"",WORKDAY(K91,5))</f>
        <v/>
      </c>
      <c r="V91" s="9" t="str">
        <f aca="false">IF(OR(P91="",Q91&lt;&gt;"",M91="Opposition",M91="Pas intéressé",M91="Client",M91="Rendez-vous pris",M91="Numéro erroné"),"",WORKDAY(P91,7))</f>
        <v/>
      </c>
      <c r="W91" s="7" t="str">
        <f aca="true">IF(M91="Opposition","Ne pas contacter",IF(AND(U91&lt;&gt;"",U91&lt;=TODAY()),"Relance 1 à envoyer",IF(AND(V91&lt;&gt;"",V91&lt;=TODAY()),"Relance 2 à envoyer",IF(AND(O91&lt;&gt;"",O91&lt;=TODAY()),"Rappel à faire",""))))</f>
        <v/>
      </c>
    </row>
    <row r="92" customFormat="false" ht="15" hidden="false" customHeight="false" outlineLevel="0" collapsed="false">
      <c r="A92" s="7" t="n">
        <v>91</v>
      </c>
      <c r="B92" s="8"/>
      <c r="C92" s="8"/>
      <c r="D92" s="7"/>
      <c r="E92" s="7"/>
      <c r="F92" s="8"/>
      <c r="G92" s="7"/>
      <c r="H92" s="7"/>
      <c r="I92" s="8"/>
      <c r="J92" s="9"/>
      <c r="K92" s="9"/>
      <c r="L92" s="7"/>
      <c r="M92" s="7"/>
      <c r="N92" s="8"/>
      <c r="O92" s="9"/>
      <c r="P92" s="9"/>
      <c r="Q92" s="9"/>
      <c r="R92" s="9"/>
      <c r="S92" s="8"/>
      <c r="T92" s="9" t="str">
        <f aca="false">IF(J92="","",EDATE(MAX(J92,K92,P92,Q92,R92),36))</f>
        <v/>
      </c>
      <c r="U92" s="9" t="str">
        <f aca="false">IF(OR(L92&lt;&gt;"Email",K92="",P92&lt;&gt;"",M92="Opposition",M92="Pas intéressé",M92="Client",M92="Rendez-vous pris",M92="Numéro erroné"),"",WORKDAY(K92,5))</f>
        <v/>
      </c>
      <c r="V92" s="9" t="str">
        <f aca="false">IF(OR(P92="",Q92&lt;&gt;"",M92="Opposition",M92="Pas intéressé",M92="Client",M92="Rendez-vous pris",M92="Numéro erroné"),"",WORKDAY(P92,7))</f>
        <v/>
      </c>
      <c r="W92" s="7" t="str">
        <f aca="true">IF(M92="Opposition","Ne pas contacter",IF(AND(U92&lt;&gt;"",U92&lt;=TODAY()),"Relance 1 à envoyer",IF(AND(V92&lt;&gt;"",V92&lt;=TODAY()),"Relance 2 à envoyer",IF(AND(O92&lt;&gt;"",O92&lt;=TODAY()),"Rappel à faire",""))))</f>
        <v/>
      </c>
    </row>
    <row r="93" customFormat="false" ht="15" hidden="false" customHeight="false" outlineLevel="0" collapsed="false">
      <c r="A93" s="7" t="n">
        <v>92</v>
      </c>
      <c r="B93" s="8"/>
      <c r="C93" s="8"/>
      <c r="D93" s="7"/>
      <c r="E93" s="7"/>
      <c r="F93" s="8"/>
      <c r="G93" s="7"/>
      <c r="H93" s="7"/>
      <c r="I93" s="8"/>
      <c r="J93" s="9"/>
      <c r="K93" s="9"/>
      <c r="L93" s="7"/>
      <c r="M93" s="7"/>
      <c r="N93" s="8"/>
      <c r="O93" s="9"/>
      <c r="P93" s="9"/>
      <c r="Q93" s="9"/>
      <c r="R93" s="9"/>
      <c r="S93" s="8"/>
      <c r="T93" s="9" t="str">
        <f aca="false">IF(J93="","",EDATE(MAX(J93,K93,P93,Q93,R93),36))</f>
        <v/>
      </c>
      <c r="U93" s="9" t="str">
        <f aca="false">IF(OR(L93&lt;&gt;"Email",K93="",P93&lt;&gt;"",M93="Opposition",M93="Pas intéressé",M93="Client",M93="Rendez-vous pris",M93="Numéro erroné"),"",WORKDAY(K93,5))</f>
        <v/>
      </c>
      <c r="V93" s="9" t="str">
        <f aca="false">IF(OR(P93="",Q93&lt;&gt;"",M93="Opposition",M93="Pas intéressé",M93="Client",M93="Rendez-vous pris",M93="Numéro erroné"),"",WORKDAY(P93,7))</f>
        <v/>
      </c>
      <c r="W93" s="7" t="str">
        <f aca="true">IF(M93="Opposition","Ne pas contacter",IF(AND(U93&lt;&gt;"",U93&lt;=TODAY()),"Relance 1 à envoyer",IF(AND(V93&lt;&gt;"",V93&lt;=TODAY()),"Relance 2 à envoyer",IF(AND(O93&lt;&gt;"",O93&lt;=TODAY()),"Rappel à faire",""))))</f>
        <v/>
      </c>
    </row>
    <row r="94" customFormat="false" ht="15" hidden="false" customHeight="false" outlineLevel="0" collapsed="false">
      <c r="A94" s="7" t="n">
        <v>93</v>
      </c>
      <c r="B94" s="8"/>
      <c r="C94" s="8"/>
      <c r="D94" s="7"/>
      <c r="E94" s="7"/>
      <c r="F94" s="8"/>
      <c r="G94" s="7"/>
      <c r="H94" s="7"/>
      <c r="I94" s="8"/>
      <c r="J94" s="9"/>
      <c r="K94" s="9"/>
      <c r="L94" s="7"/>
      <c r="M94" s="7"/>
      <c r="N94" s="8"/>
      <c r="O94" s="9"/>
      <c r="P94" s="9"/>
      <c r="Q94" s="9"/>
      <c r="R94" s="9"/>
      <c r="S94" s="8"/>
      <c r="T94" s="9" t="str">
        <f aca="false">IF(J94="","",EDATE(MAX(J94,K94,P94,Q94,R94),36))</f>
        <v/>
      </c>
      <c r="U94" s="9" t="str">
        <f aca="false">IF(OR(L94&lt;&gt;"Email",K94="",P94&lt;&gt;"",M94="Opposition",M94="Pas intéressé",M94="Client",M94="Rendez-vous pris",M94="Numéro erroné"),"",WORKDAY(K94,5))</f>
        <v/>
      </c>
      <c r="V94" s="9" t="str">
        <f aca="false">IF(OR(P94="",Q94&lt;&gt;"",M94="Opposition",M94="Pas intéressé",M94="Client",M94="Rendez-vous pris",M94="Numéro erroné"),"",WORKDAY(P94,7))</f>
        <v/>
      </c>
      <c r="W94" s="7" t="str">
        <f aca="true">IF(M94="Opposition","Ne pas contacter",IF(AND(U94&lt;&gt;"",U94&lt;=TODAY()),"Relance 1 à envoyer",IF(AND(V94&lt;&gt;"",V94&lt;=TODAY()),"Relance 2 à envoyer",IF(AND(O94&lt;&gt;"",O94&lt;=TODAY()),"Rappel à faire",""))))</f>
        <v/>
      </c>
    </row>
    <row r="95" customFormat="false" ht="15" hidden="false" customHeight="false" outlineLevel="0" collapsed="false">
      <c r="A95" s="7" t="n">
        <v>94</v>
      </c>
      <c r="B95" s="8"/>
      <c r="C95" s="8"/>
      <c r="D95" s="7"/>
      <c r="E95" s="7"/>
      <c r="F95" s="8"/>
      <c r="G95" s="7"/>
      <c r="H95" s="7"/>
      <c r="I95" s="8"/>
      <c r="J95" s="9"/>
      <c r="K95" s="9"/>
      <c r="L95" s="7"/>
      <c r="M95" s="7"/>
      <c r="N95" s="8"/>
      <c r="O95" s="9"/>
      <c r="P95" s="9"/>
      <c r="Q95" s="9"/>
      <c r="R95" s="9"/>
      <c r="S95" s="8"/>
      <c r="T95" s="9" t="str">
        <f aca="false">IF(J95="","",EDATE(MAX(J95,K95,P95,Q95,R95),36))</f>
        <v/>
      </c>
      <c r="U95" s="9" t="str">
        <f aca="false">IF(OR(L95&lt;&gt;"Email",K95="",P95&lt;&gt;"",M95="Opposition",M95="Pas intéressé",M95="Client",M95="Rendez-vous pris",M95="Numéro erroné"),"",WORKDAY(K95,5))</f>
        <v/>
      </c>
      <c r="V95" s="9" t="str">
        <f aca="false">IF(OR(P95="",Q95&lt;&gt;"",M95="Opposition",M95="Pas intéressé",M95="Client",M95="Rendez-vous pris",M95="Numéro erroné"),"",WORKDAY(P95,7))</f>
        <v/>
      </c>
      <c r="W95" s="7" t="str">
        <f aca="true">IF(M95="Opposition","Ne pas contacter",IF(AND(U95&lt;&gt;"",U95&lt;=TODAY()),"Relance 1 à envoyer",IF(AND(V95&lt;&gt;"",V95&lt;=TODAY()),"Relance 2 à envoyer",IF(AND(O95&lt;&gt;"",O95&lt;=TODAY()),"Rappel à faire",""))))</f>
        <v/>
      </c>
    </row>
    <row r="96" customFormat="false" ht="15" hidden="false" customHeight="false" outlineLevel="0" collapsed="false">
      <c r="A96" s="7" t="n">
        <v>95</v>
      </c>
      <c r="B96" s="8"/>
      <c r="C96" s="8"/>
      <c r="D96" s="7"/>
      <c r="E96" s="7"/>
      <c r="F96" s="8"/>
      <c r="G96" s="7"/>
      <c r="H96" s="7"/>
      <c r="I96" s="8"/>
      <c r="J96" s="9"/>
      <c r="K96" s="9"/>
      <c r="L96" s="7"/>
      <c r="M96" s="7"/>
      <c r="N96" s="8"/>
      <c r="O96" s="9"/>
      <c r="P96" s="9"/>
      <c r="Q96" s="9"/>
      <c r="R96" s="9"/>
      <c r="S96" s="8"/>
      <c r="T96" s="9" t="str">
        <f aca="false">IF(J96="","",EDATE(MAX(J96,K96,P96,Q96,R96),36))</f>
        <v/>
      </c>
      <c r="U96" s="9" t="str">
        <f aca="false">IF(OR(L96&lt;&gt;"Email",K96="",P96&lt;&gt;"",M96="Opposition",M96="Pas intéressé",M96="Client",M96="Rendez-vous pris",M96="Numéro erroné"),"",WORKDAY(K96,5))</f>
        <v/>
      </c>
      <c r="V96" s="9" t="str">
        <f aca="false">IF(OR(P96="",Q96&lt;&gt;"",M96="Opposition",M96="Pas intéressé",M96="Client",M96="Rendez-vous pris",M96="Numéro erroné"),"",WORKDAY(P96,7))</f>
        <v/>
      </c>
      <c r="W96" s="7" t="str">
        <f aca="true">IF(M96="Opposition","Ne pas contacter",IF(AND(U96&lt;&gt;"",U96&lt;=TODAY()),"Relance 1 à envoyer",IF(AND(V96&lt;&gt;"",V96&lt;=TODAY()),"Relance 2 à envoyer",IF(AND(O96&lt;&gt;"",O96&lt;=TODAY()),"Rappel à faire",""))))</f>
        <v/>
      </c>
    </row>
    <row r="97" customFormat="false" ht="15" hidden="false" customHeight="false" outlineLevel="0" collapsed="false">
      <c r="A97" s="7" t="n">
        <v>96</v>
      </c>
      <c r="B97" s="8"/>
      <c r="C97" s="8"/>
      <c r="D97" s="7"/>
      <c r="E97" s="7"/>
      <c r="F97" s="8"/>
      <c r="G97" s="7"/>
      <c r="H97" s="7"/>
      <c r="I97" s="8"/>
      <c r="J97" s="9"/>
      <c r="K97" s="9"/>
      <c r="L97" s="7"/>
      <c r="M97" s="7"/>
      <c r="N97" s="8"/>
      <c r="O97" s="9"/>
      <c r="P97" s="9"/>
      <c r="Q97" s="9"/>
      <c r="R97" s="9"/>
      <c r="S97" s="8"/>
      <c r="T97" s="9" t="str">
        <f aca="false">IF(J97="","",EDATE(MAX(J97,K97,P97,Q97,R97),36))</f>
        <v/>
      </c>
      <c r="U97" s="9" t="str">
        <f aca="false">IF(OR(L97&lt;&gt;"Email",K97="",P97&lt;&gt;"",M97="Opposition",M97="Pas intéressé",M97="Client",M97="Rendez-vous pris",M97="Numéro erroné"),"",WORKDAY(K97,5))</f>
        <v/>
      </c>
      <c r="V97" s="9" t="str">
        <f aca="false">IF(OR(P97="",Q97&lt;&gt;"",M97="Opposition",M97="Pas intéressé",M97="Client",M97="Rendez-vous pris",M97="Numéro erroné"),"",WORKDAY(P97,7))</f>
        <v/>
      </c>
      <c r="W97" s="7" t="str">
        <f aca="true">IF(M97="Opposition","Ne pas contacter",IF(AND(U97&lt;&gt;"",U97&lt;=TODAY()),"Relance 1 à envoyer",IF(AND(V97&lt;&gt;"",V97&lt;=TODAY()),"Relance 2 à envoyer",IF(AND(O97&lt;&gt;"",O97&lt;=TODAY()),"Rappel à faire",""))))</f>
        <v/>
      </c>
    </row>
    <row r="98" customFormat="false" ht="15" hidden="false" customHeight="false" outlineLevel="0" collapsed="false">
      <c r="A98" s="7" t="n">
        <v>97</v>
      </c>
      <c r="B98" s="8"/>
      <c r="C98" s="8"/>
      <c r="D98" s="7"/>
      <c r="E98" s="7"/>
      <c r="F98" s="8"/>
      <c r="G98" s="7"/>
      <c r="H98" s="7"/>
      <c r="I98" s="8"/>
      <c r="J98" s="9"/>
      <c r="K98" s="9"/>
      <c r="L98" s="7"/>
      <c r="M98" s="7"/>
      <c r="N98" s="8"/>
      <c r="O98" s="9"/>
      <c r="P98" s="9"/>
      <c r="Q98" s="9"/>
      <c r="R98" s="9"/>
      <c r="S98" s="8"/>
      <c r="T98" s="9" t="str">
        <f aca="false">IF(J98="","",EDATE(MAX(J98,K98,P98,Q98,R98),36))</f>
        <v/>
      </c>
      <c r="U98" s="9" t="str">
        <f aca="false">IF(OR(L98&lt;&gt;"Email",K98="",P98&lt;&gt;"",M98="Opposition",M98="Pas intéressé",M98="Client",M98="Rendez-vous pris",M98="Numéro erroné"),"",WORKDAY(K98,5))</f>
        <v/>
      </c>
      <c r="V98" s="9" t="str">
        <f aca="false">IF(OR(P98="",Q98&lt;&gt;"",M98="Opposition",M98="Pas intéressé",M98="Client",M98="Rendez-vous pris",M98="Numéro erroné"),"",WORKDAY(P98,7))</f>
        <v/>
      </c>
      <c r="W98" s="7" t="str">
        <f aca="true">IF(M98="Opposition","Ne pas contacter",IF(AND(U98&lt;&gt;"",U98&lt;=TODAY()),"Relance 1 à envoyer",IF(AND(V98&lt;&gt;"",V98&lt;=TODAY()),"Relance 2 à envoyer",IF(AND(O98&lt;&gt;"",O98&lt;=TODAY()),"Rappel à faire",""))))</f>
        <v/>
      </c>
    </row>
    <row r="99" customFormat="false" ht="15" hidden="false" customHeight="false" outlineLevel="0" collapsed="false">
      <c r="A99" s="7" t="n">
        <v>98</v>
      </c>
      <c r="B99" s="8"/>
      <c r="C99" s="8"/>
      <c r="D99" s="7"/>
      <c r="E99" s="7"/>
      <c r="F99" s="8"/>
      <c r="G99" s="7"/>
      <c r="H99" s="7"/>
      <c r="I99" s="8"/>
      <c r="J99" s="9"/>
      <c r="K99" s="9"/>
      <c r="L99" s="7"/>
      <c r="M99" s="7"/>
      <c r="N99" s="8"/>
      <c r="O99" s="9"/>
      <c r="P99" s="9"/>
      <c r="Q99" s="9"/>
      <c r="R99" s="9"/>
      <c r="S99" s="8"/>
      <c r="T99" s="9" t="str">
        <f aca="false">IF(J99="","",EDATE(MAX(J99,K99,P99,Q99,R99),36))</f>
        <v/>
      </c>
      <c r="U99" s="9" t="str">
        <f aca="false">IF(OR(L99&lt;&gt;"Email",K99="",P99&lt;&gt;"",M99="Opposition",M99="Pas intéressé",M99="Client",M99="Rendez-vous pris",M99="Numéro erroné"),"",WORKDAY(K99,5))</f>
        <v/>
      </c>
      <c r="V99" s="9" t="str">
        <f aca="false">IF(OR(P99="",Q99&lt;&gt;"",M99="Opposition",M99="Pas intéressé",M99="Client",M99="Rendez-vous pris",M99="Numéro erroné"),"",WORKDAY(P99,7))</f>
        <v/>
      </c>
      <c r="W99" s="7" t="str">
        <f aca="true">IF(M99="Opposition","Ne pas contacter",IF(AND(U99&lt;&gt;"",U99&lt;=TODAY()),"Relance 1 à envoyer",IF(AND(V99&lt;&gt;"",V99&lt;=TODAY()),"Relance 2 à envoyer",IF(AND(O99&lt;&gt;"",O99&lt;=TODAY()),"Rappel à faire",""))))</f>
        <v/>
      </c>
    </row>
    <row r="100" customFormat="false" ht="15" hidden="false" customHeight="false" outlineLevel="0" collapsed="false">
      <c r="A100" s="7" t="n">
        <v>99</v>
      </c>
      <c r="B100" s="8"/>
      <c r="C100" s="8"/>
      <c r="D100" s="7"/>
      <c r="E100" s="7"/>
      <c r="F100" s="8"/>
      <c r="G100" s="7"/>
      <c r="H100" s="7"/>
      <c r="I100" s="8"/>
      <c r="J100" s="9"/>
      <c r="K100" s="9"/>
      <c r="L100" s="7"/>
      <c r="M100" s="7"/>
      <c r="N100" s="8"/>
      <c r="O100" s="9"/>
      <c r="P100" s="9"/>
      <c r="Q100" s="9"/>
      <c r="R100" s="9"/>
      <c r="S100" s="8"/>
      <c r="T100" s="9" t="str">
        <f aca="false">IF(J100="","",EDATE(MAX(J100,K100,P100,Q100,R100),36))</f>
        <v/>
      </c>
      <c r="U100" s="9" t="str">
        <f aca="false">IF(OR(L100&lt;&gt;"Email",K100="",P100&lt;&gt;"",M100="Opposition",M100="Pas intéressé",M100="Client",M100="Rendez-vous pris",M100="Numéro erroné"),"",WORKDAY(K100,5))</f>
        <v/>
      </c>
      <c r="V100" s="9" t="str">
        <f aca="false">IF(OR(P100="",Q100&lt;&gt;"",M100="Opposition",M100="Pas intéressé",M100="Client",M100="Rendez-vous pris",M100="Numéro erroné"),"",WORKDAY(P100,7))</f>
        <v/>
      </c>
      <c r="W100" s="7" t="str">
        <f aca="true">IF(M100="Opposition","Ne pas contacter",IF(AND(U100&lt;&gt;"",U100&lt;=TODAY()),"Relance 1 à envoyer",IF(AND(V100&lt;&gt;"",V100&lt;=TODAY()),"Relance 2 à envoyer",IF(AND(O100&lt;&gt;"",O100&lt;=TODAY()),"Rappel à faire",""))))</f>
        <v/>
      </c>
    </row>
    <row r="101" customFormat="false" ht="15" hidden="false" customHeight="false" outlineLevel="0" collapsed="false">
      <c r="A101" s="7" t="n">
        <v>100</v>
      </c>
      <c r="B101" s="8"/>
      <c r="C101" s="8"/>
      <c r="D101" s="7"/>
      <c r="E101" s="7"/>
      <c r="F101" s="8"/>
      <c r="G101" s="7"/>
      <c r="H101" s="7"/>
      <c r="I101" s="8"/>
      <c r="J101" s="9"/>
      <c r="K101" s="9"/>
      <c r="L101" s="7"/>
      <c r="M101" s="7"/>
      <c r="N101" s="8"/>
      <c r="O101" s="9"/>
      <c r="P101" s="9"/>
      <c r="Q101" s="9"/>
      <c r="R101" s="9"/>
      <c r="S101" s="8"/>
      <c r="T101" s="9" t="str">
        <f aca="false">IF(J101="","",EDATE(MAX(J101,K101,P101,Q101,R101),36))</f>
        <v/>
      </c>
      <c r="U101" s="9" t="str">
        <f aca="false">IF(OR(L101&lt;&gt;"Email",K101="",P101&lt;&gt;"",M101="Opposition",M101="Pas intéressé",M101="Client",M101="Rendez-vous pris",M101="Numéro erroné"),"",WORKDAY(K101,5))</f>
        <v/>
      </c>
      <c r="V101" s="9" t="str">
        <f aca="false">IF(OR(P101="",Q101&lt;&gt;"",M101="Opposition",M101="Pas intéressé",M101="Client",M101="Rendez-vous pris",M101="Numéro erroné"),"",WORKDAY(P101,7))</f>
        <v/>
      </c>
      <c r="W101" s="7" t="str">
        <f aca="true">IF(M101="Opposition","Ne pas contacter",IF(AND(U101&lt;&gt;"",U101&lt;=TODAY()),"Relance 1 à envoyer",IF(AND(V101&lt;&gt;"",V101&lt;=TODAY()),"Relance 2 à envoyer",IF(AND(O101&lt;&gt;"",O101&lt;=TODAY()),"Rappel à faire",""))))</f>
        <v/>
      </c>
    </row>
    <row r="102" customFormat="false" ht="15" hidden="false" customHeight="false" outlineLevel="0" collapsed="false">
      <c r="A102" s="7" t="n">
        <v>101</v>
      </c>
      <c r="B102" s="8"/>
      <c r="C102" s="8"/>
      <c r="D102" s="7"/>
      <c r="E102" s="7"/>
      <c r="F102" s="8"/>
      <c r="G102" s="7"/>
      <c r="H102" s="7"/>
      <c r="I102" s="8"/>
      <c r="J102" s="9"/>
      <c r="K102" s="9"/>
      <c r="L102" s="7"/>
      <c r="M102" s="7"/>
      <c r="N102" s="8"/>
      <c r="O102" s="9"/>
      <c r="P102" s="9"/>
      <c r="Q102" s="9"/>
      <c r="R102" s="9"/>
      <c r="S102" s="8"/>
      <c r="T102" s="9" t="str">
        <f aca="false">IF(J102="","",EDATE(MAX(J102,K102,P102,Q102,R102),36))</f>
        <v/>
      </c>
      <c r="U102" s="9" t="str">
        <f aca="false">IF(OR(L102&lt;&gt;"Email",K102="",P102&lt;&gt;"",M102="Opposition",M102="Pas intéressé",M102="Client",M102="Rendez-vous pris",M102="Numéro erroné"),"",WORKDAY(K102,5))</f>
        <v/>
      </c>
      <c r="V102" s="9" t="str">
        <f aca="false">IF(OR(P102="",Q102&lt;&gt;"",M102="Opposition",M102="Pas intéressé",M102="Client",M102="Rendez-vous pris",M102="Numéro erroné"),"",WORKDAY(P102,7))</f>
        <v/>
      </c>
      <c r="W102" s="7" t="str">
        <f aca="true">IF(M102="Opposition","Ne pas contacter",IF(AND(U102&lt;&gt;"",U102&lt;=TODAY()),"Relance 1 à envoyer",IF(AND(V102&lt;&gt;"",V102&lt;=TODAY()),"Relance 2 à envoyer",IF(AND(O102&lt;&gt;"",O102&lt;=TODAY()),"Rappel à faire",""))))</f>
        <v/>
      </c>
    </row>
    <row r="103" customFormat="false" ht="15" hidden="false" customHeight="false" outlineLevel="0" collapsed="false">
      <c r="A103" s="7" t="n">
        <v>102</v>
      </c>
      <c r="B103" s="8"/>
      <c r="C103" s="8"/>
      <c r="D103" s="7"/>
      <c r="E103" s="7"/>
      <c r="F103" s="8"/>
      <c r="G103" s="7"/>
      <c r="H103" s="7"/>
      <c r="I103" s="8"/>
      <c r="J103" s="9"/>
      <c r="K103" s="9"/>
      <c r="L103" s="7"/>
      <c r="M103" s="7"/>
      <c r="N103" s="8"/>
      <c r="O103" s="9"/>
      <c r="P103" s="9"/>
      <c r="Q103" s="9"/>
      <c r="R103" s="9"/>
      <c r="S103" s="8"/>
      <c r="T103" s="9" t="str">
        <f aca="false">IF(J103="","",EDATE(MAX(J103,K103,P103,Q103,R103),36))</f>
        <v/>
      </c>
      <c r="U103" s="9" t="str">
        <f aca="false">IF(OR(L103&lt;&gt;"Email",K103="",P103&lt;&gt;"",M103="Opposition",M103="Pas intéressé",M103="Client",M103="Rendez-vous pris",M103="Numéro erroné"),"",WORKDAY(K103,5))</f>
        <v/>
      </c>
      <c r="V103" s="9" t="str">
        <f aca="false">IF(OR(P103="",Q103&lt;&gt;"",M103="Opposition",M103="Pas intéressé",M103="Client",M103="Rendez-vous pris",M103="Numéro erroné"),"",WORKDAY(P103,7))</f>
        <v/>
      </c>
      <c r="W103" s="7" t="str">
        <f aca="true">IF(M103="Opposition","Ne pas contacter",IF(AND(U103&lt;&gt;"",U103&lt;=TODAY()),"Relance 1 à envoyer",IF(AND(V103&lt;&gt;"",V103&lt;=TODAY()),"Relance 2 à envoyer",IF(AND(O103&lt;&gt;"",O103&lt;=TODAY()),"Rappel à faire",""))))</f>
        <v/>
      </c>
    </row>
    <row r="104" customFormat="false" ht="15" hidden="false" customHeight="false" outlineLevel="0" collapsed="false">
      <c r="A104" s="7" t="n">
        <v>103</v>
      </c>
      <c r="B104" s="8"/>
      <c r="C104" s="8"/>
      <c r="D104" s="7"/>
      <c r="E104" s="7"/>
      <c r="F104" s="8"/>
      <c r="G104" s="7"/>
      <c r="H104" s="7"/>
      <c r="I104" s="8"/>
      <c r="J104" s="9"/>
      <c r="K104" s="9"/>
      <c r="L104" s="7"/>
      <c r="M104" s="7"/>
      <c r="N104" s="8"/>
      <c r="O104" s="9"/>
      <c r="P104" s="9"/>
      <c r="Q104" s="9"/>
      <c r="R104" s="9"/>
      <c r="S104" s="8"/>
      <c r="T104" s="9" t="str">
        <f aca="false">IF(J104="","",EDATE(MAX(J104,K104,P104,Q104,R104),36))</f>
        <v/>
      </c>
      <c r="U104" s="9" t="str">
        <f aca="false">IF(OR(L104&lt;&gt;"Email",K104="",P104&lt;&gt;"",M104="Opposition",M104="Pas intéressé",M104="Client",M104="Rendez-vous pris",M104="Numéro erroné"),"",WORKDAY(K104,5))</f>
        <v/>
      </c>
      <c r="V104" s="9" t="str">
        <f aca="false">IF(OR(P104="",Q104&lt;&gt;"",M104="Opposition",M104="Pas intéressé",M104="Client",M104="Rendez-vous pris",M104="Numéro erroné"),"",WORKDAY(P104,7))</f>
        <v/>
      </c>
      <c r="W104" s="7" t="str">
        <f aca="true">IF(M104="Opposition","Ne pas contacter",IF(AND(U104&lt;&gt;"",U104&lt;=TODAY()),"Relance 1 à envoyer",IF(AND(V104&lt;&gt;"",V104&lt;=TODAY()),"Relance 2 à envoyer",IF(AND(O104&lt;&gt;"",O104&lt;=TODAY()),"Rappel à faire",""))))</f>
        <v/>
      </c>
    </row>
    <row r="105" customFormat="false" ht="15" hidden="false" customHeight="false" outlineLevel="0" collapsed="false">
      <c r="A105" s="7" t="n">
        <v>104</v>
      </c>
      <c r="B105" s="8"/>
      <c r="C105" s="8"/>
      <c r="D105" s="7"/>
      <c r="E105" s="7"/>
      <c r="F105" s="8"/>
      <c r="G105" s="7"/>
      <c r="H105" s="7"/>
      <c r="I105" s="8"/>
      <c r="J105" s="9"/>
      <c r="K105" s="9"/>
      <c r="L105" s="7"/>
      <c r="M105" s="7"/>
      <c r="N105" s="8"/>
      <c r="O105" s="9"/>
      <c r="P105" s="9"/>
      <c r="Q105" s="9"/>
      <c r="R105" s="9"/>
      <c r="S105" s="8"/>
      <c r="T105" s="9" t="str">
        <f aca="false">IF(J105="","",EDATE(MAX(J105,K105,P105,Q105,R105),36))</f>
        <v/>
      </c>
      <c r="U105" s="9" t="str">
        <f aca="false">IF(OR(L105&lt;&gt;"Email",K105="",P105&lt;&gt;"",M105="Opposition",M105="Pas intéressé",M105="Client",M105="Rendez-vous pris",M105="Numéro erroné"),"",WORKDAY(K105,5))</f>
        <v/>
      </c>
      <c r="V105" s="9" t="str">
        <f aca="false">IF(OR(P105="",Q105&lt;&gt;"",M105="Opposition",M105="Pas intéressé",M105="Client",M105="Rendez-vous pris",M105="Numéro erroné"),"",WORKDAY(P105,7))</f>
        <v/>
      </c>
      <c r="W105" s="7" t="str">
        <f aca="true">IF(M105="Opposition","Ne pas contacter",IF(AND(U105&lt;&gt;"",U105&lt;=TODAY()),"Relance 1 à envoyer",IF(AND(V105&lt;&gt;"",V105&lt;=TODAY()),"Relance 2 à envoyer",IF(AND(O105&lt;&gt;"",O105&lt;=TODAY()),"Rappel à faire",""))))</f>
        <v/>
      </c>
    </row>
    <row r="106" customFormat="false" ht="15" hidden="false" customHeight="false" outlineLevel="0" collapsed="false">
      <c r="A106" s="7" t="n">
        <v>105</v>
      </c>
      <c r="B106" s="8"/>
      <c r="C106" s="8"/>
      <c r="D106" s="7"/>
      <c r="E106" s="7"/>
      <c r="F106" s="8"/>
      <c r="G106" s="7"/>
      <c r="H106" s="7"/>
      <c r="I106" s="8"/>
      <c r="J106" s="9"/>
      <c r="K106" s="9"/>
      <c r="L106" s="7"/>
      <c r="M106" s="7"/>
      <c r="N106" s="8"/>
      <c r="O106" s="9"/>
      <c r="P106" s="9"/>
      <c r="Q106" s="9"/>
      <c r="R106" s="9"/>
      <c r="S106" s="8"/>
      <c r="T106" s="9" t="str">
        <f aca="false">IF(J106="","",EDATE(MAX(J106,K106,P106,Q106,R106),36))</f>
        <v/>
      </c>
      <c r="U106" s="9" t="str">
        <f aca="false">IF(OR(L106&lt;&gt;"Email",K106="",P106&lt;&gt;"",M106="Opposition",M106="Pas intéressé",M106="Client",M106="Rendez-vous pris",M106="Numéro erroné"),"",WORKDAY(K106,5))</f>
        <v/>
      </c>
      <c r="V106" s="9" t="str">
        <f aca="false">IF(OR(P106="",Q106&lt;&gt;"",M106="Opposition",M106="Pas intéressé",M106="Client",M106="Rendez-vous pris",M106="Numéro erroné"),"",WORKDAY(P106,7))</f>
        <v/>
      </c>
      <c r="W106" s="7" t="str">
        <f aca="true">IF(M106="Opposition","Ne pas contacter",IF(AND(U106&lt;&gt;"",U106&lt;=TODAY()),"Relance 1 à envoyer",IF(AND(V106&lt;&gt;"",V106&lt;=TODAY()),"Relance 2 à envoyer",IF(AND(O106&lt;&gt;"",O106&lt;=TODAY()),"Rappel à faire",""))))</f>
        <v/>
      </c>
    </row>
    <row r="107" customFormat="false" ht="15" hidden="false" customHeight="false" outlineLevel="0" collapsed="false">
      <c r="A107" s="7" t="n">
        <v>106</v>
      </c>
      <c r="B107" s="8"/>
      <c r="C107" s="8"/>
      <c r="D107" s="7"/>
      <c r="E107" s="7"/>
      <c r="F107" s="8"/>
      <c r="G107" s="7"/>
      <c r="H107" s="7"/>
      <c r="I107" s="8"/>
      <c r="J107" s="9"/>
      <c r="K107" s="9"/>
      <c r="L107" s="7"/>
      <c r="M107" s="7"/>
      <c r="N107" s="8"/>
      <c r="O107" s="9"/>
      <c r="P107" s="9"/>
      <c r="Q107" s="9"/>
      <c r="R107" s="9"/>
      <c r="S107" s="8"/>
      <c r="T107" s="9" t="str">
        <f aca="false">IF(J107="","",EDATE(MAX(J107,K107,P107,Q107,R107),36))</f>
        <v/>
      </c>
      <c r="U107" s="9" t="str">
        <f aca="false">IF(OR(L107&lt;&gt;"Email",K107="",P107&lt;&gt;"",M107="Opposition",M107="Pas intéressé",M107="Client",M107="Rendez-vous pris",M107="Numéro erroné"),"",WORKDAY(K107,5))</f>
        <v/>
      </c>
      <c r="V107" s="9" t="str">
        <f aca="false">IF(OR(P107="",Q107&lt;&gt;"",M107="Opposition",M107="Pas intéressé",M107="Client",M107="Rendez-vous pris",M107="Numéro erroné"),"",WORKDAY(P107,7))</f>
        <v/>
      </c>
      <c r="W107" s="7" t="str">
        <f aca="true">IF(M107="Opposition","Ne pas contacter",IF(AND(U107&lt;&gt;"",U107&lt;=TODAY()),"Relance 1 à envoyer",IF(AND(V107&lt;&gt;"",V107&lt;=TODAY()),"Relance 2 à envoyer",IF(AND(O107&lt;&gt;"",O107&lt;=TODAY()),"Rappel à faire",""))))</f>
        <v/>
      </c>
    </row>
    <row r="108" customFormat="false" ht="15" hidden="false" customHeight="false" outlineLevel="0" collapsed="false">
      <c r="A108" s="7" t="n">
        <v>107</v>
      </c>
      <c r="B108" s="8"/>
      <c r="C108" s="8"/>
      <c r="D108" s="7"/>
      <c r="E108" s="7"/>
      <c r="F108" s="8"/>
      <c r="G108" s="7"/>
      <c r="H108" s="7"/>
      <c r="I108" s="8"/>
      <c r="J108" s="9"/>
      <c r="K108" s="9"/>
      <c r="L108" s="7"/>
      <c r="M108" s="7"/>
      <c r="N108" s="8"/>
      <c r="O108" s="9"/>
      <c r="P108" s="9"/>
      <c r="Q108" s="9"/>
      <c r="R108" s="9"/>
      <c r="S108" s="8"/>
      <c r="T108" s="9" t="str">
        <f aca="false">IF(J108="","",EDATE(MAX(J108,K108,P108,Q108,R108),36))</f>
        <v/>
      </c>
      <c r="U108" s="9" t="str">
        <f aca="false">IF(OR(L108&lt;&gt;"Email",K108="",P108&lt;&gt;"",M108="Opposition",M108="Pas intéressé",M108="Client",M108="Rendez-vous pris",M108="Numéro erroné"),"",WORKDAY(K108,5))</f>
        <v/>
      </c>
      <c r="V108" s="9" t="str">
        <f aca="false">IF(OR(P108="",Q108&lt;&gt;"",M108="Opposition",M108="Pas intéressé",M108="Client",M108="Rendez-vous pris",M108="Numéro erroné"),"",WORKDAY(P108,7))</f>
        <v/>
      </c>
      <c r="W108" s="7" t="str">
        <f aca="true">IF(M108="Opposition","Ne pas contacter",IF(AND(U108&lt;&gt;"",U108&lt;=TODAY()),"Relance 1 à envoyer",IF(AND(V108&lt;&gt;"",V108&lt;=TODAY()),"Relance 2 à envoyer",IF(AND(O108&lt;&gt;"",O108&lt;=TODAY()),"Rappel à faire",""))))</f>
        <v/>
      </c>
    </row>
    <row r="109" customFormat="false" ht="15" hidden="false" customHeight="false" outlineLevel="0" collapsed="false">
      <c r="A109" s="7" t="n">
        <v>108</v>
      </c>
      <c r="B109" s="8"/>
      <c r="C109" s="8"/>
      <c r="D109" s="7"/>
      <c r="E109" s="7"/>
      <c r="F109" s="8"/>
      <c r="G109" s="7"/>
      <c r="H109" s="7"/>
      <c r="I109" s="8"/>
      <c r="J109" s="9"/>
      <c r="K109" s="9"/>
      <c r="L109" s="7"/>
      <c r="M109" s="7"/>
      <c r="N109" s="8"/>
      <c r="O109" s="9"/>
      <c r="P109" s="9"/>
      <c r="Q109" s="9"/>
      <c r="R109" s="9"/>
      <c r="S109" s="8"/>
      <c r="T109" s="9" t="str">
        <f aca="false">IF(J109="","",EDATE(MAX(J109,K109,P109,Q109,R109),36))</f>
        <v/>
      </c>
      <c r="U109" s="9" t="str">
        <f aca="false">IF(OR(L109&lt;&gt;"Email",K109="",P109&lt;&gt;"",M109="Opposition",M109="Pas intéressé",M109="Client",M109="Rendez-vous pris",M109="Numéro erroné"),"",WORKDAY(K109,5))</f>
        <v/>
      </c>
      <c r="V109" s="9" t="str">
        <f aca="false">IF(OR(P109="",Q109&lt;&gt;"",M109="Opposition",M109="Pas intéressé",M109="Client",M109="Rendez-vous pris",M109="Numéro erroné"),"",WORKDAY(P109,7))</f>
        <v/>
      </c>
      <c r="W109" s="7" t="str">
        <f aca="true">IF(M109="Opposition","Ne pas contacter",IF(AND(U109&lt;&gt;"",U109&lt;=TODAY()),"Relance 1 à envoyer",IF(AND(V109&lt;&gt;"",V109&lt;=TODAY()),"Relance 2 à envoyer",IF(AND(O109&lt;&gt;"",O109&lt;=TODAY()),"Rappel à faire",""))))</f>
        <v/>
      </c>
    </row>
    <row r="110" customFormat="false" ht="15" hidden="false" customHeight="false" outlineLevel="0" collapsed="false">
      <c r="A110" s="7" t="n">
        <v>109</v>
      </c>
      <c r="B110" s="8"/>
      <c r="C110" s="8"/>
      <c r="D110" s="7"/>
      <c r="E110" s="7"/>
      <c r="F110" s="8"/>
      <c r="G110" s="7"/>
      <c r="H110" s="7"/>
      <c r="I110" s="8"/>
      <c r="J110" s="9"/>
      <c r="K110" s="9"/>
      <c r="L110" s="7"/>
      <c r="M110" s="7"/>
      <c r="N110" s="8"/>
      <c r="O110" s="9"/>
      <c r="P110" s="9"/>
      <c r="Q110" s="9"/>
      <c r="R110" s="9"/>
      <c r="S110" s="8"/>
      <c r="T110" s="9" t="str">
        <f aca="false">IF(J110="","",EDATE(MAX(J110,K110,P110,Q110,R110),36))</f>
        <v/>
      </c>
      <c r="U110" s="9" t="str">
        <f aca="false">IF(OR(L110&lt;&gt;"Email",K110="",P110&lt;&gt;"",M110="Opposition",M110="Pas intéressé",M110="Client",M110="Rendez-vous pris",M110="Numéro erroné"),"",WORKDAY(K110,5))</f>
        <v/>
      </c>
      <c r="V110" s="9" t="str">
        <f aca="false">IF(OR(P110="",Q110&lt;&gt;"",M110="Opposition",M110="Pas intéressé",M110="Client",M110="Rendez-vous pris",M110="Numéro erroné"),"",WORKDAY(P110,7))</f>
        <v/>
      </c>
      <c r="W110" s="7" t="str">
        <f aca="true">IF(M110="Opposition","Ne pas contacter",IF(AND(U110&lt;&gt;"",U110&lt;=TODAY()),"Relance 1 à envoyer",IF(AND(V110&lt;&gt;"",V110&lt;=TODAY()),"Relance 2 à envoyer",IF(AND(O110&lt;&gt;"",O110&lt;=TODAY()),"Rappel à faire",""))))</f>
        <v/>
      </c>
    </row>
    <row r="111" customFormat="false" ht="15" hidden="false" customHeight="false" outlineLevel="0" collapsed="false">
      <c r="A111" s="7" t="n">
        <v>110</v>
      </c>
      <c r="B111" s="8"/>
      <c r="C111" s="8"/>
      <c r="D111" s="7"/>
      <c r="E111" s="7"/>
      <c r="F111" s="8"/>
      <c r="G111" s="7"/>
      <c r="H111" s="7"/>
      <c r="I111" s="8"/>
      <c r="J111" s="9"/>
      <c r="K111" s="9"/>
      <c r="L111" s="7"/>
      <c r="M111" s="7"/>
      <c r="N111" s="8"/>
      <c r="O111" s="9"/>
      <c r="P111" s="9"/>
      <c r="Q111" s="9"/>
      <c r="R111" s="9"/>
      <c r="S111" s="8"/>
      <c r="T111" s="9" t="str">
        <f aca="false">IF(J111="","",EDATE(MAX(J111,K111,P111,Q111,R111),36))</f>
        <v/>
      </c>
      <c r="U111" s="9" t="str">
        <f aca="false">IF(OR(L111&lt;&gt;"Email",K111="",P111&lt;&gt;"",M111="Opposition",M111="Pas intéressé",M111="Client",M111="Rendez-vous pris",M111="Numéro erroné"),"",WORKDAY(K111,5))</f>
        <v/>
      </c>
      <c r="V111" s="9" t="str">
        <f aca="false">IF(OR(P111="",Q111&lt;&gt;"",M111="Opposition",M111="Pas intéressé",M111="Client",M111="Rendez-vous pris",M111="Numéro erroné"),"",WORKDAY(P111,7))</f>
        <v/>
      </c>
      <c r="W111" s="7" t="str">
        <f aca="true">IF(M111="Opposition","Ne pas contacter",IF(AND(U111&lt;&gt;"",U111&lt;=TODAY()),"Relance 1 à envoyer",IF(AND(V111&lt;&gt;"",V111&lt;=TODAY()),"Relance 2 à envoyer",IF(AND(O111&lt;&gt;"",O111&lt;=TODAY()),"Rappel à faire",""))))</f>
        <v/>
      </c>
    </row>
    <row r="112" customFormat="false" ht="15" hidden="false" customHeight="false" outlineLevel="0" collapsed="false">
      <c r="A112" s="7" t="n">
        <v>111</v>
      </c>
      <c r="B112" s="8"/>
      <c r="C112" s="8"/>
      <c r="D112" s="7"/>
      <c r="E112" s="7"/>
      <c r="F112" s="8"/>
      <c r="G112" s="7"/>
      <c r="H112" s="7"/>
      <c r="I112" s="8"/>
      <c r="J112" s="9"/>
      <c r="K112" s="9"/>
      <c r="L112" s="7"/>
      <c r="M112" s="7"/>
      <c r="N112" s="8"/>
      <c r="O112" s="9"/>
      <c r="P112" s="9"/>
      <c r="Q112" s="9"/>
      <c r="R112" s="9"/>
      <c r="S112" s="8"/>
      <c r="T112" s="9" t="str">
        <f aca="false">IF(J112="","",EDATE(MAX(J112,K112,P112,Q112,R112),36))</f>
        <v/>
      </c>
      <c r="U112" s="9" t="str">
        <f aca="false">IF(OR(L112&lt;&gt;"Email",K112="",P112&lt;&gt;"",M112="Opposition",M112="Pas intéressé",M112="Client",M112="Rendez-vous pris",M112="Numéro erroné"),"",WORKDAY(K112,5))</f>
        <v/>
      </c>
      <c r="V112" s="9" t="str">
        <f aca="false">IF(OR(P112="",Q112&lt;&gt;"",M112="Opposition",M112="Pas intéressé",M112="Client",M112="Rendez-vous pris",M112="Numéro erroné"),"",WORKDAY(P112,7))</f>
        <v/>
      </c>
      <c r="W112" s="7" t="str">
        <f aca="true">IF(M112="Opposition","Ne pas contacter",IF(AND(U112&lt;&gt;"",U112&lt;=TODAY()),"Relance 1 à envoyer",IF(AND(V112&lt;&gt;"",V112&lt;=TODAY()),"Relance 2 à envoyer",IF(AND(O112&lt;&gt;"",O112&lt;=TODAY()),"Rappel à faire",""))))</f>
        <v/>
      </c>
    </row>
    <row r="113" customFormat="false" ht="15" hidden="false" customHeight="false" outlineLevel="0" collapsed="false">
      <c r="A113" s="7" t="n">
        <v>112</v>
      </c>
      <c r="B113" s="8"/>
      <c r="C113" s="8"/>
      <c r="D113" s="7"/>
      <c r="E113" s="7"/>
      <c r="F113" s="8"/>
      <c r="G113" s="7"/>
      <c r="H113" s="7"/>
      <c r="I113" s="8"/>
      <c r="J113" s="9"/>
      <c r="K113" s="9"/>
      <c r="L113" s="7"/>
      <c r="M113" s="7"/>
      <c r="N113" s="8"/>
      <c r="O113" s="9"/>
      <c r="P113" s="9"/>
      <c r="Q113" s="9"/>
      <c r="R113" s="9"/>
      <c r="S113" s="8"/>
      <c r="T113" s="9" t="str">
        <f aca="false">IF(J113="","",EDATE(MAX(J113,K113,P113,Q113,R113),36))</f>
        <v/>
      </c>
      <c r="U113" s="9" t="str">
        <f aca="false">IF(OR(L113&lt;&gt;"Email",K113="",P113&lt;&gt;"",M113="Opposition",M113="Pas intéressé",M113="Client",M113="Rendez-vous pris",M113="Numéro erroné"),"",WORKDAY(K113,5))</f>
        <v/>
      </c>
      <c r="V113" s="9" t="str">
        <f aca="false">IF(OR(P113="",Q113&lt;&gt;"",M113="Opposition",M113="Pas intéressé",M113="Client",M113="Rendez-vous pris",M113="Numéro erroné"),"",WORKDAY(P113,7))</f>
        <v/>
      </c>
      <c r="W113" s="7" t="str">
        <f aca="true">IF(M113="Opposition","Ne pas contacter",IF(AND(U113&lt;&gt;"",U113&lt;=TODAY()),"Relance 1 à envoyer",IF(AND(V113&lt;&gt;"",V113&lt;=TODAY()),"Relance 2 à envoyer",IF(AND(O113&lt;&gt;"",O113&lt;=TODAY()),"Rappel à faire",""))))</f>
        <v/>
      </c>
    </row>
    <row r="114" customFormat="false" ht="15" hidden="false" customHeight="false" outlineLevel="0" collapsed="false">
      <c r="A114" s="7" t="n">
        <v>113</v>
      </c>
      <c r="B114" s="8"/>
      <c r="C114" s="8"/>
      <c r="D114" s="7"/>
      <c r="E114" s="7"/>
      <c r="F114" s="8"/>
      <c r="G114" s="7"/>
      <c r="H114" s="7"/>
      <c r="I114" s="8"/>
      <c r="J114" s="9"/>
      <c r="K114" s="9"/>
      <c r="L114" s="7"/>
      <c r="M114" s="7"/>
      <c r="N114" s="8"/>
      <c r="O114" s="9"/>
      <c r="P114" s="9"/>
      <c r="Q114" s="9"/>
      <c r="R114" s="9"/>
      <c r="S114" s="8"/>
      <c r="T114" s="9" t="str">
        <f aca="false">IF(J114="","",EDATE(MAX(J114,K114,P114,Q114,R114),36))</f>
        <v/>
      </c>
      <c r="U114" s="9" t="str">
        <f aca="false">IF(OR(L114&lt;&gt;"Email",K114="",P114&lt;&gt;"",M114="Opposition",M114="Pas intéressé",M114="Client",M114="Rendez-vous pris",M114="Numéro erroné"),"",WORKDAY(K114,5))</f>
        <v/>
      </c>
      <c r="V114" s="9" t="str">
        <f aca="false">IF(OR(P114="",Q114&lt;&gt;"",M114="Opposition",M114="Pas intéressé",M114="Client",M114="Rendez-vous pris",M114="Numéro erroné"),"",WORKDAY(P114,7))</f>
        <v/>
      </c>
      <c r="W114" s="7" t="str">
        <f aca="true">IF(M114="Opposition","Ne pas contacter",IF(AND(U114&lt;&gt;"",U114&lt;=TODAY()),"Relance 1 à envoyer",IF(AND(V114&lt;&gt;"",V114&lt;=TODAY()),"Relance 2 à envoyer",IF(AND(O114&lt;&gt;"",O114&lt;=TODAY()),"Rappel à faire",""))))</f>
        <v/>
      </c>
    </row>
    <row r="115" customFormat="false" ht="15" hidden="false" customHeight="false" outlineLevel="0" collapsed="false">
      <c r="A115" s="7" t="n">
        <v>114</v>
      </c>
      <c r="B115" s="8"/>
      <c r="C115" s="8"/>
      <c r="D115" s="7"/>
      <c r="E115" s="7"/>
      <c r="F115" s="8"/>
      <c r="G115" s="7"/>
      <c r="H115" s="7"/>
      <c r="I115" s="8"/>
      <c r="J115" s="9"/>
      <c r="K115" s="9"/>
      <c r="L115" s="7"/>
      <c r="M115" s="7"/>
      <c r="N115" s="8"/>
      <c r="O115" s="9"/>
      <c r="P115" s="9"/>
      <c r="Q115" s="9"/>
      <c r="R115" s="9"/>
      <c r="S115" s="8"/>
      <c r="T115" s="9" t="str">
        <f aca="false">IF(J115="","",EDATE(MAX(J115,K115,P115,Q115,R115),36))</f>
        <v/>
      </c>
      <c r="U115" s="9" t="str">
        <f aca="false">IF(OR(L115&lt;&gt;"Email",K115="",P115&lt;&gt;"",M115="Opposition",M115="Pas intéressé",M115="Client",M115="Rendez-vous pris",M115="Numéro erroné"),"",WORKDAY(K115,5))</f>
        <v/>
      </c>
      <c r="V115" s="9" t="str">
        <f aca="false">IF(OR(P115="",Q115&lt;&gt;"",M115="Opposition",M115="Pas intéressé",M115="Client",M115="Rendez-vous pris",M115="Numéro erroné"),"",WORKDAY(P115,7))</f>
        <v/>
      </c>
      <c r="W115" s="7" t="str">
        <f aca="true">IF(M115="Opposition","Ne pas contacter",IF(AND(U115&lt;&gt;"",U115&lt;=TODAY()),"Relance 1 à envoyer",IF(AND(V115&lt;&gt;"",V115&lt;=TODAY()),"Relance 2 à envoyer",IF(AND(O115&lt;&gt;"",O115&lt;=TODAY()),"Rappel à faire",""))))</f>
        <v/>
      </c>
    </row>
    <row r="116" customFormat="false" ht="15" hidden="false" customHeight="false" outlineLevel="0" collapsed="false">
      <c r="A116" s="7" t="n">
        <v>115</v>
      </c>
      <c r="B116" s="8"/>
      <c r="C116" s="8"/>
      <c r="D116" s="7"/>
      <c r="E116" s="7"/>
      <c r="F116" s="8"/>
      <c r="G116" s="7"/>
      <c r="H116" s="7"/>
      <c r="I116" s="8"/>
      <c r="J116" s="9"/>
      <c r="K116" s="9"/>
      <c r="L116" s="7"/>
      <c r="M116" s="7"/>
      <c r="N116" s="8"/>
      <c r="O116" s="9"/>
      <c r="P116" s="9"/>
      <c r="Q116" s="9"/>
      <c r="R116" s="9"/>
      <c r="S116" s="8"/>
      <c r="T116" s="9" t="str">
        <f aca="false">IF(J116="","",EDATE(MAX(J116,K116,P116,Q116,R116),36))</f>
        <v/>
      </c>
      <c r="U116" s="9" t="str">
        <f aca="false">IF(OR(L116&lt;&gt;"Email",K116="",P116&lt;&gt;"",M116="Opposition",M116="Pas intéressé",M116="Client",M116="Rendez-vous pris",M116="Numéro erroné"),"",WORKDAY(K116,5))</f>
        <v/>
      </c>
      <c r="V116" s="9" t="str">
        <f aca="false">IF(OR(P116="",Q116&lt;&gt;"",M116="Opposition",M116="Pas intéressé",M116="Client",M116="Rendez-vous pris",M116="Numéro erroné"),"",WORKDAY(P116,7))</f>
        <v/>
      </c>
      <c r="W116" s="7" t="str">
        <f aca="true">IF(M116="Opposition","Ne pas contacter",IF(AND(U116&lt;&gt;"",U116&lt;=TODAY()),"Relance 1 à envoyer",IF(AND(V116&lt;&gt;"",V116&lt;=TODAY()),"Relance 2 à envoyer",IF(AND(O116&lt;&gt;"",O116&lt;=TODAY()),"Rappel à faire",""))))</f>
        <v/>
      </c>
    </row>
    <row r="117" customFormat="false" ht="15" hidden="false" customHeight="false" outlineLevel="0" collapsed="false">
      <c r="A117" s="7" t="n">
        <v>116</v>
      </c>
      <c r="B117" s="8"/>
      <c r="C117" s="8"/>
      <c r="D117" s="7"/>
      <c r="E117" s="7"/>
      <c r="F117" s="8"/>
      <c r="G117" s="7"/>
      <c r="H117" s="7"/>
      <c r="I117" s="8"/>
      <c r="J117" s="9"/>
      <c r="K117" s="9"/>
      <c r="L117" s="7"/>
      <c r="M117" s="7"/>
      <c r="N117" s="8"/>
      <c r="O117" s="9"/>
      <c r="P117" s="9"/>
      <c r="Q117" s="9"/>
      <c r="R117" s="9"/>
      <c r="S117" s="8"/>
      <c r="T117" s="9" t="str">
        <f aca="false">IF(J117="","",EDATE(MAX(J117,K117,P117,Q117,R117),36))</f>
        <v/>
      </c>
      <c r="U117" s="9" t="str">
        <f aca="false">IF(OR(L117&lt;&gt;"Email",K117="",P117&lt;&gt;"",M117="Opposition",M117="Pas intéressé",M117="Client",M117="Rendez-vous pris",M117="Numéro erroné"),"",WORKDAY(K117,5))</f>
        <v/>
      </c>
      <c r="V117" s="9" t="str">
        <f aca="false">IF(OR(P117="",Q117&lt;&gt;"",M117="Opposition",M117="Pas intéressé",M117="Client",M117="Rendez-vous pris",M117="Numéro erroné"),"",WORKDAY(P117,7))</f>
        <v/>
      </c>
      <c r="W117" s="7" t="str">
        <f aca="true">IF(M117="Opposition","Ne pas contacter",IF(AND(U117&lt;&gt;"",U117&lt;=TODAY()),"Relance 1 à envoyer",IF(AND(V117&lt;&gt;"",V117&lt;=TODAY()),"Relance 2 à envoyer",IF(AND(O117&lt;&gt;"",O117&lt;=TODAY()),"Rappel à faire",""))))</f>
        <v/>
      </c>
    </row>
    <row r="118" customFormat="false" ht="15" hidden="false" customHeight="false" outlineLevel="0" collapsed="false">
      <c r="A118" s="7" t="n">
        <v>117</v>
      </c>
      <c r="B118" s="8"/>
      <c r="C118" s="8"/>
      <c r="D118" s="7"/>
      <c r="E118" s="7"/>
      <c r="F118" s="8"/>
      <c r="G118" s="7"/>
      <c r="H118" s="7"/>
      <c r="I118" s="8"/>
      <c r="J118" s="9"/>
      <c r="K118" s="9"/>
      <c r="L118" s="7"/>
      <c r="M118" s="7"/>
      <c r="N118" s="8"/>
      <c r="O118" s="9"/>
      <c r="P118" s="9"/>
      <c r="Q118" s="9"/>
      <c r="R118" s="9"/>
      <c r="S118" s="8"/>
      <c r="T118" s="9" t="str">
        <f aca="false">IF(J118="","",EDATE(MAX(J118,K118,P118,Q118,R118),36))</f>
        <v/>
      </c>
      <c r="U118" s="9" t="str">
        <f aca="false">IF(OR(L118&lt;&gt;"Email",K118="",P118&lt;&gt;"",M118="Opposition",M118="Pas intéressé",M118="Client",M118="Rendez-vous pris",M118="Numéro erroné"),"",WORKDAY(K118,5))</f>
        <v/>
      </c>
      <c r="V118" s="9" t="str">
        <f aca="false">IF(OR(P118="",Q118&lt;&gt;"",M118="Opposition",M118="Pas intéressé",M118="Client",M118="Rendez-vous pris",M118="Numéro erroné"),"",WORKDAY(P118,7))</f>
        <v/>
      </c>
      <c r="W118" s="7" t="str">
        <f aca="true">IF(M118="Opposition","Ne pas contacter",IF(AND(U118&lt;&gt;"",U118&lt;=TODAY()),"Relance 1 à envoyer",IF(AND(V118&lt;&gt;"",V118&lt;=TODAY()),"Relance 2 à envoyer",IF(AND(O118&lt;&gt;"",O118&lt;=TODAY()),"Rappel à faire",""))))</f>
        <v/>
      </c>
    </row>
    <row r="119" customFormat="false" ht="15" hidden="false" customHeight="false" outlineLevel="0" collapsed="false">
      <c r="A119" s="7" t="n">
        <v>118</v>
      </c>
      <c r="B119" s="8"/>
      <c r="C119" s="8"/>
      <c r="D119" s="7"/>
      <c r="E119" s="7"/>
      <c r="F119" s="8"/>
      <c r="G119" s="7"/>
      <c r="H119" s="7"/>
      <c r="I119" s="8"/>
      <c r="J119" s="9"/>
      <c r="K119" s="9"/>
      <c r="L119" s="7"/>
      <c r="M119" s="7"/>
      <c r="N119" s="8"/>
      <c r="O119" s="9"/>
      <c r="P119" s="9"/>
      <c r="Q119" s="9"/>
      <c r="R119" s="9"/>
      <c r="S119" s="8"/>
      <c r="T119" s="9" t="str">
        <f aca="false">IF(J119="","",EDATE(MAX(J119,K119,P119,Q119,R119),36))</f>
        <v/>
      </c>
      <c r="U119" s="9" t="str">
        <f aca="false">IF(OR(L119&lt;&gt;"Email",K119="",P119&lt;&gt;"",M119="Opposition",M119="Pas intéressé",M119="Client",M119="Rendez-vous pris",M119="Numéro erroné"),"",WORKDAY(K119,5))</f>
        <v/>
      </c>
      <c r="V119" s="9" t="str">
        <f aca="false">IF(OR(P119="",Q119&lt;&gt;"",M119="Opposition",M119="Pas intéressé",M119="Client",M119="Rendez-vous pris",M119="Numéro erroné"),"",WORKDAY(P119,7))</f>
        <v/>
      </c>
      <c r="W119" s="7" t="str">
        <f aca="true">IF(M119="Opposition","Ne pas contacter",IF(AND(U119&lt;&gt;"",U119&lt;=TODAY()),"Relance 1 à envoyer",IF(AND(V119&lt;&gt;"",V119&lt;=TODAY()),"Relance 2 à envoyer",IF(AND(O119&lt;&gt;"",O119&lt;=TODAY()),"Rappel à faire",""))))</f>
        <v/>
      </c>
    </row>
    <row r="120" customFormat="false" ht="15" hidden="false" customHeight="false" outlineLevel="0" collapsed="false">
      <c r="A120" s="7" t="n">
        <v>119</v>
      </c>
      <c r="B120" s="8"/>
      <c r="C120" s="8"/>
      <c r="D120" s="7"/>
      <c r="E120" s="7"/>
      <c r="F120" s="8"/>
      <c r="G120" s="7"/>
      <c r="H120" s="7"/>
      <c r="I120" s="8"/>
      <c r="J120" s="9"/>
      <c r="K120" s="9"/>
      <c r="L120" s="7"/>
      <c r="M120" s="7"/>
      <c r="N120" s="8"/>
      <c r="O120" s="9"/>
      <c r="P120" s="9"/>
      <c r="Q120" s="9"/>
      <c r="R120" s="9"/>
      <c r="S120" s="8"/>
      <c r="T120" s="9" t="str">
        <f aca="false">IF(J120="","",EDATE(MAX(J120,K120,P120,Q120,R120),36))</f>
        <v/>
      </c>
      <c r="U120" s="9" t="str">
        <f aca="false">IF(OR(L120&lt;&gt;"Email",K120="",P120&lt;&gt;"",M120="Opposition",M120="Pas intéressé",M120="Client",M120="Rendez-vous pris",M120="Numéro erroné"),"",WORKDAY(K120,5))</f>
        <v/>
      </c>
      <c r="V120" s="9" t="str">
        <f aca="false">IF(OR(P120="",Q120&lt;&gt;"",M120="Opposition",M120="Pas intéressé",M120="Client",M120="Rendez-vous pris",M120="Numéro erroné"),"",WORKDAY(P120,7))</f>
        <v/>
      </c>
      <c r="W120" s="7" t="str">
        <f aca="true">IF(M120="Opposition","Ne pas contacter",IF(AND(U120&lt;&gt;"",U120&lt;=TODAY()),"Relance 1 à envoyer",IF(AND(V120&lt;&gt;"",V120&lt;=TODAY()),"Relance 2 à envoyer",IF(AND(O120&lt;&gt;"",O120&lt;=TODAY()),"Rappel à faire",""))))</f>
        <v/>
      </c>
    </row>
    <row r="121" customFormat="false" ht="15" hidden="false" customHeight="false" outlineLevel="0" collapsed="false">
      <c r="A121" s="7" t="n">
        <v>120</v>
      </c>
      <c r="B121" s="8"/>
      <c r="C121" s="8"/>
      <c r="D121" s="7"/>
      <c r="E121" s="7"/>
      <c r="F121" s="8"/>
      <c r="G121" s="7"/>
      <c r="H121" s="7"/>
      <c r="I121" s="8"/>
      <c r="J121" s="9"/>
      <c r="K121" s="9"/>
      <c r="L121" s="7"/>
      <c r="M121" s="7"/>
      <c r="N121" s="8"/>
      <c r="O121" s="9"/>
      <c r="P121" s="9"/>
      <c r="Q121" s="9"/>
      <c r="R121" s="9"/>
      <c r="S121" s="8"/>
      <c r="T121" s="9" t="str">
        <f aca="false">IF(J121="","",EDATE(MAX(J121,K121,P121,Q121,R121),36))</f>
        <v/>
      </c>
      <c r="U121" s="9" t="str">
        <f aca="false">IF(OR(L121&lt;&gt;"Email",K121="",P121&lt;&gt;"",M121="Opposition",M121="Pas intéressé",M121="Client",M121="Rendez-vous pris",M121="Numéro erroné"),"",WORKDAY(K121,5))</f>
        <v/>
      </c>
      <c r="V121" s="9" t="str">
        <f aca="false">IF(OR(P121="",Q121&lt;&gt;"",M121="Opposition",M121="Pas intéressé",M121="Client",M121="Rendez-vous pris",M121="Numéro erroné"),"",WORKDAY(P121,7))</f>
        <v/>
      </c>
      <c r="W121" s="7" t="str">
        <f aca="true">IF(M121="Opposition","Ne pas contacter",IF(AND(U121&lt;&gt;"",U121&lt;=TODAY()),"Relance 1 à envoyer",IF(AND(V121&lt;&gt;"",V121&lt;=TODAY()),"Relance 2 à envoyer",IF(AND(O121&lt;&gt;"",O121&lt;=TODAY()),"Rappel à faire",""))))</f>
        <v/>
      </c>
    </row>
    <row r="122" customFormat="false" ht="15" hidden="false" customHeight="false" outlineLevel="0" collapsed="false">
      <c r="A122" s="7" t="n">
        <v>121</v>
      </c>
      <c r="B122" s="8"/>
      <c r="C122" s="8"/>
      <c r="D122" s="7"/>
      <c r="E122" s="7"/>
      <c r="F122" s="8"/>
      <c r="G122" s="7"/>
      <c r="H122" s="7"/>
      <c r="I122" s="8"/>
      <c r="J122" s="9"/>
      <c r="K122" s="9"/>
      <c r="L122" s="7"/>
      <c r="M122" s="7"/>
      <c r="N122" s="8"/>
      <c r="O122" s="9"/>
      <c r="P122" s="9"/>
      <c r="Q122" s="9"/>
      <c r="R122" s="9"/>
      <c r="S122" s="8"/>
      <c r="T122" s="9" t="str">
        <f aca="false">IF(J122="","",EDATE(MAX(J122,K122,P122,Q122,R122),36))</f>
        <v/>
      </c>
      <c r="U122" s="9" t="str">
        <f aca="false">IF(OR(L122&lt;&gt;"Email",K122="",P122&lt;&gt;"",M122="Opposition",M122="Pas intéressé",M122="Client",M122="Rendez-vous pris",M122="Numéro erroné"),"",WORKDAY(K122,5))</f>
        <v/>
      </c>
      <c r="V122" s="9" t="str">
        <f aca="false">IF(OR(P122="",Q122&lt;&gt;"",M122="Opposition",M122="Pas intéressé",M122="Client",M122="Rendez-vous pris",M122="Numéro erroné"),"",WORKDAY(P122,7))</f>
        <v/>
      </c>
      <c r="W122" s="7" t="str">
        <f aca="true">IF(M122="Opposition","Ne pas contacter",IF(AND(U122&lt;&gt;"",U122&lt;=TODAY()),"Relance 1 à envoyer",IF(AND(V122&lt;&gt;"",V122&lt;=TODAY()),"Relance 2 à envoyer",IF(AND(O122&lt;&gt;"",O122&lt;=TODAY()),"Rappel à faire",""))))</f>
        <v/>
      </c>
    </row>
    <row r="123" customFormat="false" ht="15" hidden="false" customHeight="false" outlineLevel="0" collapsed="false">
      <c r="A123" s="7" t="n">
        <v>122</v>
      </c>
      <c r="B123" s="8"/>
      <c r="C123" s="8"/>
      <c r="D123" s="7"/>
      <c r="E123" s="7"/>
      <c r="F123" s="8"/>
      <c r="G123" s="7"/>
      <c r="H123" s="7"/>
      <c r="I123" s="8"/>
      <c r="J123" s="9"/>
      <c r="K123" s="9"/>
      <c r="L123" s="7"/>
      <c r="M123" s="7"/>
      <c r="N123" s="8"/>
      <c r="O123" s="9"/>
      <c r="P123" s="9"/>
      <c r="Q123" s="9"/>
      <c r="R123" s="9"/>
      <c r="S123" s="8"/>
      <c r="T123" s="9" t="str">
        <f aca="false">IF(J123="","",EDATE(MAX(J123,K123,P123,Q123,R123),36))</f>
        <v/>
      </c>
      <c r="U123" s="9" t="str">
        <f aca="false">IF(OR(L123&lt;&gt;"Email",K123="",P123&lt;&gt;"",M123="Opposition",M123="Pas intéressé",M123="Client",M123="Rendez-vous pris",M123="Numéro erroné"),"",WORKDAY(K123,5))</f>
        <v/>
      </c>
      <c r="V123" s="9" t="str">
        <f aca="false">IF(OR(P123="",Q123&lt;&gt;"",M123="Opposition",M123="Pas intéressé",M123="Client",M123="Rendez-vous pris",M123="Numéro erroné"),"",WORKDAY(P123,7))</f>
        <v/>
      </c>
      <c r="W123" s="7" t="str">
        <f aca="true">IF(M123="Opposition","Ne pas contacter",IF(AND(U123&lt;&gt;"",U123&lt;=TODAY()),"Relance 1 à envoyer",IF(AND(V123&lt;&gt;"",V123&lt;=TODAY()),"Relance 2 à envoyer",IF(AND(O123&lt;&gt;"",O123&lt;=TODAY()),"Rappel à faire",""))))</f>
        <v/>
      </c>
    </row>
    <row r="124" customFormat="false" ht="15" hidden="false" customHeight="false" outlineLevel="0" collapsed="false">
      <c r="A124" s="7" t="n">
        <v>123</v>
      </c>
      <c r="B124" s="8"/>
      <c r="C124" s="8"/>
      <c r="D124" s="7"/>
      <c r="E124" s="7"/>
      <c r="F124" s="8"/>
      <c r="G124" s="7"/>
      <c r="H124" s="7"/>
      <c r="I124" s="8"/>
      <c r="J124" s="9"/>
      <c r="K124" s="9"/>
      <c r="L124" s="7"/>
      <c r="M124" s="7"/>
      <c r="N124" s="8"/>
      <c r="O124" s="9"/>
      <c r="P124" s="9"/>
      <c r="Q124" s="9"/>
      <c r="R124" s="9"/>
      <c r="S124" s="8"/>
      <c r="T124" s="9" t="str">
        <f aca="false">IF(J124="","",EDATE(MAX(J124,K124,P124,Q124,R124),36))</f>
        <v/>
      </c>
      <c r="U124" s="9" t="str">
        <f aca="false">IF(OR(L124&lt;&gt;"Email",K124="",P124&lt;&gt;"",M124="Opposition",M124="Pas intéressé",M124="Client",M124="Rendez-vous pris",M124="Numéro erroné"),"",WORKDAY(K124,5))</f>
        <v/>
      </c>
      <c r="V124" s="9" t="str">
        <f aca="false">IF(OR(P124="",Q124&lt;&gt;"",M124="Opposition",M124="Pas intéressé",M124="Client",M124="Rendez-vous pris",M124="Numéro erroné"),"",WORKDAY(P124,7))</f>
        <v/>
      </c>
      <c r="W124" s="7" t="str">
        <f aca="true">IF(M124="Opposition","Ne pas contacter",IF(AND(U124&lt;&gt;"",U124&lt;=TODAY()),"Relance 1 à envoyer",IF(AND(V124&lt;&gt;"",V124&lt;=TODAY()),"Relance 2 à envoyer",IF(AND(O124&lt;&gt;"",O124&lt;=TODAY()),"Rappel à faire",""))))</f>
        <v/>
      </c>
    </row>
    <row r="125" customFormat="false" ht="15" hidden="false" customHeight="false" outlineLevel="0" collapsed="false">
      <c r="A125" s="7" t="n">
        <v>124</v>
      </c>
      <c r="B125" s="8"/>
      <c r="C125" s="8"/>
      <c r="D125" s="7"/>
      <c r="E125" s="7"/>
      <c r="F125" s="8"/>
      <c r="G125" s="7"/>
      <c r="H125" s="7"/>
      <c r="I125" s="8"/>
      <c r="J125" s="9"/>
      <c r="K125" s="9"/>
      <c r="L125" s="7"/>
      <c r="M125" s="7"/>
      <c r="N125" s="8"/>
      <c r="O125" s="9"/>
      <c r="P125" s="9"/>
      <c r="Q125" s="9"/>
      <c r="R125" s="9"/>
      <c r="S125" s="8"/>
      <c r="T125" s="9" t="str">
        <f aca="false">IF(J125="","",EDATE(MAX(J125,K125,P125,Q125,R125),36))</f>
        <v/>
      </c>
      <c r="U125" s="9" t="str">
        <f aca="false">IF(OR(L125&lt;&gt;"Email",K125="",P125&lt;&gt;"",M125="Opposition",M125="Pas intéressé",M125="Client",M125="Rendez-vous pris",M125="Numéro erroné"),"",WORKDAY(K125,5))</f>
        <v/>
      </c>
      <c r="V125" s="9" t="str">
        <f aca="false">IF(OR(P125="",Q125&lt;&gt;"",M125="Opposition",M125="Pas intéressé",M125="Client",M125="Rendez-vous pris",M125="Numéro erroné"),"",WORKDAY(P125,7))</f>
        <v/>
      </c>
      <c r="W125" s="7" t="str">
        <f aca="true">IF(M125="Opposition","Ne pas contacter",IF(AND(U125&lt;&gt;"",U125&lt;=TODAY()),"Relance 1 à envoyer",IF(AND(V125&lt;&gt;"",V125&lt;=TODAY()),"Relance 2 à envoyer",IF(AND(O125&lt;&gt;"",O125&lt;=TODAY()),"Rappel à faire",""))))</f>
        <v/>
      </c>
    </row>
    <row r="126" customFormat="false" ht="15" hidden="false" customHeight="false" outlineLevel="0" collapsed="false">
      <c r="A126" s="7" t="n">
        <v>125</v>
      </c>
      <c r="B126" s="8"/>
      <c r="C126" s="8"/>
      <c r="D126" s="7"/>
      <c r="E126" s="7"/>
      <c r="F126" s="8"/>
      <c r="G126" s="7"/>
      <c r="H126" s="7"/>
      <c r="I126" s="8"/>
      <c r="J126" s="9"/>
      <c r="K126" s="9"/>
      <c r="L126" s="7"/>
      <c r="M126" s="7"/>
      <c r="N126" s="8"/>
      <c r="O126" s="9"/>
      <c r="P126" s="9"/>
      <c r="Q126" s="9"/>
      <c r="R126" s="9"/>
      <c r="S126" s="8"/>
      <c r="T126" s="9" t="str">
        <f aca="false">IF(J126="","",EDATE(MAX(J126,K126,P126,Q126,R126),36))</f>
        <v/>
      </c>
      <c r="U126" s="9" t="str">
        <f aca="false">IF(OR(L126&lt;&gt;"Email",K126="",P126&lt;&gt;"",M126="Opposition",M126="Pas intéressé",M126="Client",M126="Rendez-vous pris",M126="Numéro erroné"),"",WORKDAY(K126,5))</f>
        <v/>
      </c>
      <c r="V126" s="9" t="str">
        <f aca="false">IF(OR(P126="",Q126&lt;&gt;"",M126="Opposition",M126="Pas intéressé",M126="Client",M126="Rendez-vous pris",M126="Numéro erroné"),"",WORKDAY(P126,7))</f>
        <v/>
      </c>
      <c r="W126" s="7" t="str">
        <f aca="true">IF(M126="Opposition","Ne pas contacter",IF(AND(U126&lt;&gt;"",U126&lt;=TODAY()),"Relance 1 à envoyer",IF(AND(V126&lt;&gt;"",V126&lt;=TODAY()),"Relance 2 à envoyer",IF(AND(O126&lt;&gt;"",O126&lt;=TODAY()),"Rappel à faire",""))))</f>
        <v/>
      </c>
    </row>
    <row r="127" customFormat="false" ht="15" hidden="false" customHeight="false" outlineLevel="0" collapsed="false">
      <c r="A127" s="7" t="n">
        <v>126</v>
      </c>
      <c r="B127" s="8"/>
      <c r="C127" s="8"/>
      <c r="D127" s="7"/>
      <c r="E127" s="7"/>
      <c r="F127" s="8"/>
      <c r="G127" s="7"/>
      <c r="H127" s="7"/>
      <c r="I127" s="8"/>
      <c r="J127" s="9"/>
      <c r="K127" s="9"/>
      <c r="L127" s="7"/>
      <c r="M127" s="7"/>
      <c r="N127" s="8"/>
      <c r="O127" s="9"/>
      <c r="P127" s="9"/>
      <c r="Q127" s="9"/>
      <c r="R127" s="9"/>
      <c r="S127" s="8"/>
      <c r="T127" s="9" t="str">
        <f aca="false">IF(J127="","",EDATE(MAX(J127,K127,P127,Q127,R127),36))</f>
        <v/>
      </c>
      <c r="U127" s="9" t="str">
        <f aca="false">IF(OR(L127&lt;&gt;"Email",K127="",P127&lt;&gt;"",M127="Opposition",M127="Pas intéressé",M127="Client",M127="Rendez-vous pris",M127="Numéro erroné"),"",WORKDAY(K127,5))</f>
        <v/>
      </c>
      <c r="V127" s="9" t="str">
        <f aca="false">IF(OR(P127="",Q127&lt;&gt;"",M127="Opposition",M127="Pas intéressé",M127="Client",M127="Rendez-vous pris",M127="Numéro erroné"),"",WORKDAY(P127,7))</f>
        <v/>
      </c>
      <c r="W127" s="7" t="str">
        <f aca="true">IF(M127="Opposition","Ne pas contacter",IF(AND(U127&lt;&gt;"",U127&lt;=TODAY()),"Relance 1 à envoyer",IF(AND(V127&lt;&gt;"",V127&lt;=TODAY()),"Relance 2 à envoyer",IF(AND(O127&lt;&gt;"",O127&lt;=TODAY()),"Rappel à faire",""))))</f>
        <v/>
      </c>
    </row>
    <row r="128" customFormat="false" ht="15" hidden="false" customHeight="false" outlineLevel="0" collapsed="false">
      <c r="A128" s="7" t="n">
        <v>127</v>
      </c>
      <c r="B128" s="8"/>
      <c r="C128" s="8"/>
      <c r="D128" s="7"/>
      <c r="E128" s="7"/>
      <c r="F128" s="8"/>
      <c r="G128" s="7"/>
      <c r="H128" s="7"/>
      <c r="I128" s="8"/>
      <c r="J128" s="9"/>
      <c r="K128" s="9"/>
      <c r="L128" s="7"/>
      <c r="M128" s="7"/>
      <c r="N128" s="8"/>
      <c r="O128" s="9"/>
      <c r="P128" s="9"/>
      <c r="Q128" s="9"/>
      <c r="R128" s="9"/>
      <c r="S128" s="8"/>
      <c r="T128" s="9" t="str">
        <f aca="false">IF(J128="","",EDATE(MAX(J128,K128,P128,Q128,R128),36))</f>
        <v/>
      </c>
      <c r="U128" s="9" t="str">
        <f aca="false">IF(OR(L128&lt;&gt;"Email",K128="",P128&lt;&gt;"",M128="Opposition",M128="Pas intéressé",M128="Client",M128="Rendez-vous pris",M128="Numéro erroné"),"",WORKDAY(K128,5))</f>
        <v/>
      </c>
      <c r="V128" s="9" t="str">
        <f aca="false">IF(OR(P128="",Q128&lt;&gt;"",M128="Opposition",M128="Pas intéressé",M128="Client",M128="Rendez-vous pris",M128="Numéro erroné"),"",WORKDAY(P128,7))</f>
        <v/>
      </c>
      <c r="W128" s="7" t="str">
        <f aca="true">IF(M128="Opposition","Ne pas contacter",IF(AND(U128&lt;&gt;"",U128&lt;=TODAY()),"Relance 1 à envoyer",IF(AND(V128&lt;&gt;"",V128&lt;=TODAY()),"Relance 2 à envoyer",IF(AND(O128&lt;&gt;"",O128&lt;=TODAY()),"Rappel à faire",""))))</f>
        <v/>
      </c>
    </row>
    <row r="129" customFormat="false" ht="15" hidden="false" customHeight="false" outlineLevel="0" collapsed="false">
      <c r="A129" s="7" t="n">
        <v>128</v>
      </c>
      <c r="B129" s="8"/>
      <c r="C129" s="8"/>
      <c r="D129" s="7"/>
      <c r="E129" s="7"/>
      <c r="F129" s="8"/>
      <c r="G129" s="7"/>
      <c r="H129" s="7"/>
      <c r="I129" s="8"/>
      <c r="J129" s="9"/>
      <c r="K129" s="9"/>
      <c r="L129" s="7"/>
      <c r="M129" s="7"/>
      <c r="N129" s="8"/>
      <c r="O129" s="9"/>
      <c r="P129" s="9"/>
      <c r="Q129" s="9"/>
      <c r="R129" s="9"/>
      <c r="S129" s="8"/>
      <c r="T129" s="9" t="str">
        <f aca="false">IF(J129="","",EDATE(MAX(J129,K129,P129,Q129,R129),36))</f>
        <v/>
      </c>
      <c r="U129" s="9" t="str">
        <f aca="false">IF(OR(L129&lt;&gt;"Email",K129="",P129&lt;&gt;"",M129="Opposition",M129="Pas intéressé",M129="Client",M129="Rendez-vous pris",M129="Numéro erroné"),"",WORKDAY(K129,5))</f>
        <v/>
      </c>
      <c r="V129" s="9" t="str">
        <f aca="false">IF(OR(P129="",Q129&lt;&gt;"",M129="Opposition",M129="Pas intéressé",M129="Client",M129="Rendez-vous pris",M129="Numéro erroné"),"",WORKDAY(P129,7))</f>
        <v/>
      </c>
      <c r="W129" s="7" t="str">
        <f aca="true">IF(M129="Opposition","Ne pas contacter",IF(AND(U129&lt;&gt;"",U129&lt;=TODAY()),"Relance 1 à envoyer",IF(AND(V129&lt;&gt;"",V129&lt;=TODAY()),"Relance 2 à envoyer",IF(AND(O129&lt;&gt;"",O129&lt;=TODAY()),"Rappel à faire",""))))</f>
        <v/>
      </c>
    </row>
    <row r="130" customFormat="false" ht="15" hidden="false" customHeight="false" outlineLevel="0" collapsed="false">
      <c r="A130" s="7" t="n">
        <v>129</v>
      </c>
      <c r="B130" s="8"/>
      <c r="C130" s="8"/>
      <c r="D130" s="7"/>
      <c r="E130" s="7"/>
      <c r="F130" s="8"/>
      <c r="G130" s="7"/>
      <c r="H130" s="7"/>
      <c r="I130" s="8"/>
      <c r="J130" s="9"/>
      <c r="K130" s="9"/>
      <c r="L130" s="7"/>
      <c r="M130" s="7"/>
      <c r="N130" s="8"/>
      <c r="O130" s="9"/>
      <c r="P130" s="9"/>
      <c r="Q130" s="9"/>
      <c r="R130" s="9"/>
      <c r="S130" s="8"/>
      <c r="T130" s="9" t="str">
        <f aca="false">IF(J130="","",EDATE(MAX(J130,K130,P130,Q130,R130),36))</f>
        <v/>
      </c>
      <c r="U130" s="9" t="str">
        <f aca="false">IF(OR(L130&lt;&gt;"Email",K130="",P130&lt;&gt;"",M130="Opposition",M130="Pas intéressé",M130="Client",M130="Rendez-vous pris",M130="Numéro erroné"),"",WORKDAY(K130,5))</f>
        <v/>
      </c>
      <c r="V130" s="9" t="str">
        <f aca="false">IF(OR(P130="",Q130&lt;&gt;"",M130="Opposition",M130="Pas intéressé",M130="Client",M130="Rendez-vous pris",M130="Numéro erroné"),"",WORKDAY(P130,7))</f>
        <v/>
      </c>
      <c r="W130" s="7" t="str">
        <f aca="true">IF(M130="Opposition","Ne pas contacter",IF(AND(U130&lt;&gt;"",U130&lt;=TODAY()),"Relance 1 à envoyer",IF(AND(V130&lt;&gt;"",V130&lt;=TODAY()),"Relance 2 à envoyer",IF(AND(O130&lt;&gt;"",O130&lt;=TODAY()),"Rappel à faire",""))))</f>
        <v/>
      </c>
    </row>
    <row r="131" customFormat="false" ht="15" hidden="false" customHeight="false" outlineLevel="0" collapsed="false">
      <c r="A131" s="7" t="n">
        <v>130</v>
      </c>
      <c r="B131" s="8"/>
      <c r="C131" s="8"/>
      <c r="D131" s="7"/>
      <c r="E131" s="7"/>
      <c r="F131" s="8"/>
      <c r="G131" s="7"/>
      <c r="H131" s="7"/>
      <c r="I131" s="8"/>
      <c r="J131" s="9"/>
      <c r="K131" s="9"/>
      <c r="L131" s="7"/>
      <c r="M131" s="7"/>
      <c r="N131" s="8"/>
      <c r="O131" s="9"/>
      <c r="P131" s="9"/>
      <c r="Q131" s="9"/>
      <c r="R131" s="9"/>
      <c r="S131" s="8"/>
      <c r="T131" s="9" t="str">
        <f aca="false">IF(J131="","",EDATE(MAX(J131,K131,P131,Q131,R131),36))</f>
        <v/>
      </c>
      <c r="U131" s="9" t="str">
        <f aca="false">IF(OR(L131&lt;&gt;"Email",K131="",P131&lt;&gt;"",M131="Opposition",M131="Pas intéressé",M131="Client",M131="Rendez-vous pris",M131="Numéro erroné"),"",WORKDAY(K131,5))</f>
        <v/>
      </c>
      <c r="V131" s="9" t="str">
        <f aca="false">IF(OR(P131="",Q131&lt;&gt;"",M131="Opposition",M131="Pas intéressé",M131="Client",M131="Rendez-vous pris",M131="Numéro erroné"),"",WORKDAY(P131,7))</f>
        <v/>
      </c>
      <c r="W131" s="7" t="str">
        <f aca="true">IF(M131="Opposition","Ne pas contacter",IF(AND(U131&lt;&gt;"",U131&lt;=TODAY()),"Relance 1 à envoyer",IF(AND(V131&lt;&gt;"",V131&lt;=TODAY()),"Relance 2 à envoyer",IF(AND(O131&lt;&gt;"",O131&lt;=TODAY()),"Rappel à faire",""))))</f>
        <v/>
      </c>
    </row>
    <row r="132" customFormat="false" ht="15" hidden="false" customHeight="false" outlineLevel="0" collapsed="false">
      <c r="A132" s="7" t="n">
        <v>131</v>
      </c>
      <c r="B132" s="8"/>
      <c r="C132" s="8"/>
      <c r="D132" s="7"/>
      <c r="E132" s="7"/>
      <c r="F132" s="8"/>
      <c r="G132" s="7"/>
      <c r="H132" s="7"/>
      <c r="I132" s="8"/>
      <c r="J132" s="9"/>
      <c r="K132" s="9"/>
      <c r="L132" s="7"/>
      <c r="M132" s="7"/>
      <c r="N132" s="8"/>
      <c r="O132" s="9"/>
      <c r="P132" s="9"/>
      <c r="Q132" s="9"/>
      <c r="R132" s="9"/>
      <c r="S132" s="8"/>
      <c r="T132" s="9" t="str">
        <f aca="false">IF(J132="","",EDATE(MAX(J132,K132,P132,Q132,R132),36))</f>
        <v/>
      </c>
      <c r="U132" s="9" t="str">
        <f aca="false">IF(OR(L132&lt;&gt;"Email",K132="",P132&lt;&gt;"",M132="Opposition",M132="Pas intéressé",M132="Client",M132="Rendez-vous pris",M132="Numéro erroné"),"",WORKDAY(K132,5))</f>
        <v/>
      </c>
      <c r="V132" s="9" t="str">
        <f aca="false">IF(OR(P132="",Q132&lt;&gt;"",M132="Opposition",M132="Pas intéressé",M132="Client",M132="Rendez-vous pris",M132="Numéro erroné"),"",WORKDAY(P132,7))</f>
        <v/>
      </c>
      <c r="W132" s="7" t="str">
        <f aca="true">IF(M132="Opposition","Ne pas contacter",IF(AND(U132&lt;&gt;"",U132&lt;=TODAY()),"Relance 1 à envoyer",IF(AND(V132&lt;&gt;"",V132&lt;=TODAY()),"Relance 2 à envoyer",IF(AND(O132&lt;&gt;"",O132&lt;=TODAY()),"Rappel à faire",""))))</f>
        <v/>
      </c>
    </row>
    <row r="133" customFormat="false" ht="15" hidden="false" customHeight="false" outlineLevel="0" collapsed="false">
      <c r="A133" s="7" t="n">
        <v>132</v>
      </c>
      <c r="B133" s="8"/>
      <c r="C133" s="8"/>
      <c r="D133" s="7"/>
      <c r="E133" s="7"/>
      <c r="F133" s="8"/>
      <c r="G133" s="7"/>
      <c r="H133" s="7"/>
      <c r="I133" s="8"/>
      <c r="J133" s="9"/>
      <c r="K133" s="9"/>
      <c r="L133" s="7"/>
      <c r="M133" s="7"/>
      <c r="N133" s="8"/>
      <c r="O133" s="9"/>
      <c r="P133" s="9"/>
      <c r="Q133" s="9"/>
      <c r="R133" s="9"/>
      <c r="S133" s="8"/>
      <c r="T133" s="9" t="str">
        <f aca="false">IF(J133="","",EDATE(MAX(J133,K133,P133,Q133,R133),36))</f>
        <v/>
      </c>
      <c r="U133" s="9" t="str">
        <f aca="false">IF(OR(L133&lt;&gt;"Email",K133="",P133&lt;&gt;"",M133="Opposition",M133="Pas intéressé",M133="Client",M133="Rendez-vous pris",M133="Numéro erroné"),"",WORKDAY(K133,5))</f>
        <v/>
      </c>
      <c r="V133" s="9" t="str">
        <f aca="false">IF(OR(P133="",Q133&lt;&gt;"",M133="Opposition",M133="Pas intéressé",M133="Client",M133="Rendez-vous pris",M133="Numéro erroné"),"",WORKDAY(P133,7))</f>
        <v/>
      </c>
      <c r="W133" s="7" t="str">
        <f aca="true">IF(M133="Opposition","Ne pas contacter",IF(AND(U133&lt;&gt;"",U133&lt;=TODAY()),"Relance 1 à envoyer",IF(AND(V133&lt;&gt;"",V133&lt;=TODAY()),"Relance 2 à envoyer",IF(AND(O133&lt;&gt;"",O133&lt;=TODAY()),"Rappel à faire",""))))</f>
        <v/>
      </c>
    </row>
    <row r="134" customFormat="false" ht="15" hidden="false" customHeight="false" outlineLevel="0" collapsed="false">
      <c r="A134" s="7" t="n">
        <v>133</v>
      </c>
      <c r="B134" s="8"/>
      <c r="C134" s="8"/>
      <c r="D134" s="7"/>
      <c r="E134" s="7"/>
      <c r="F134" s="8"/>
      <c r="G134" s="7"/>
      <c r="H134" s="7"/>
      <c r="I134" s="8"/>
      <c r="J134" s="9"/>
      <c r="K134" s="9"/>
      <c r="L134" s="7"/>
      <c r="M134" s="7"/>
      <c r="N134" s="8"/>
      <c r="O134" s="9"/>
      <c r="P134" s="9"/>
      <c r="Q134" s="9"/>
      <c r="R134" s="9"/>
      <c r="S134" s="8"/>
      <c r="T134" s="9" t="str">
        <f aca="false">IF(J134="","",EDATE(MAX(J134,K134,P134,Q134,R134),36))</f>
        <v/>
      </c>
      <c r="U134" s="9" t="str">
        <f aca="false">IF(OR(L134&lt;&gt;"Email",K134="",P134&lt;&gt;"",M134="Opposition",M134="Pas intéressé",M134="Client",M134="Rendez-vous pris",M134="Numéro erroné"),"",WORKDAY(K134,5))</f>
        <v/>
      </c>
      <c r="V134" s="9" t="str">
        <f aca="false">IF(OR(P134="",Q134&lt;&gt;"",M134="Opposition",M134="Pas intéressé",M134="Client",M134="Rendez-vous pris",M134="Numéro erroné"),"",WORKDAY(P134,7))</f>
        <v/>
      </c>
      <c r="W134" s="7" t="str">
        <f aca="true">IF(M134="Opposition","Ne pas contacter",IF(AND(U134&lt;&gt;"",U134&lt;=TODAY()),"Relance 1 à envoyer",IF(AND(V134&lt;&gt;"",V134&lt;=TODAY()),"Relance 2 à envoyer",IF(AND(O134&lt;&gt;"",O134&lt;=TODAY()),"Rappel à faire",""))))</f>
        <v/>
      </c>
    </row>
    <row r="135" customFormat="false" ht="15" hidden="false" customHeight="false" outlineLevel="0" collapsed="false">
      <c r="A135" s="7" t="n">
        <v>134</v>
      </c>
      <c r="B135" s="8"/>
      <c r="C135" s="8"/>
      <c r="D135" s="7"/>
      <c r="E135" s="7"/>
      <c r="F135" s="8"/>
      <c r="G135" s="7"/>
      <c r="H135" s="7"/>
      <c r="I135" s="8"/>
      <c r="J135" s="9"/>
      <c r="K135" s="9"/>
      <c r="L135" s="7"/>
      <c r="M135" s="7"/>
      <c r="N135" s="8"/>
      <c r="O135" s="9"/>
      <c r="P135" s="9"/>
      <c r="Q135" s="9"/>
      <c r="R135" s="9"/>
      <c r="S135" s="8"/>
      <c r="T135" s="9" t="str">
        <f aca="false">IF(J135="","",EDATE(MAX(J135,K135,P135,Q135,R135),36))</f>
        <v/>
      </c>
      <c r="U135" s="9" t="str">
        <f aca="false">IF(OR(L135&lt;&gt;"Email",K135="",P135&lt;&gt;"",M135="Opposition",M135="Pas intéressé",M135="Client",M135="Rendez-vous pris",M135="Numéro erroné"),"",WORKDAY(K135,5))</f>
        <v/>
      </c>
      <c r="V135" s="9" t="str">
        <f aca="false">IF(OR(P135="",Q135&lt;&gt;"",M135="Opposition",M135="Pas intéressé",M135="Client",M135="Rendez-vous pris",M135="Numéro erroné"),"",WORKDAY(P135,7))</f>
        <v/>
      </c>
      <c r="W135" s="7" t="str">
        <f aca="true">IF(M135="Opposition","Ne pas contacter",IF(AND(U135&lt;&gt;"",U135&lt;=TODAY()),"Relance 1 à envoyer",IF(AND(V135&lt;&gt;"",V135&lt;=TODAY()),"Relance 2 à envoyer",IF(AND(O135&lt;&gt;"",O135&lt;=TODAY()),"Rappel à faire",""))))</f>
        <v/>
      </c>
    </row>
    <row r="136" customFormat="false" ht="15" hidden="false" customHeight="false" outlineLevel="0" collapsed="false">
      <c r="A136" s="7" t="n">
        <v>135</v>
      </c>
      <c r="B136" s="8"/>
      <c r="C136" s="8"/>
      <c r="D136" s="7"/>
      <c r="E136" s="7"/>
      <c r="F136" s="8"/>
      <c r="G136" s="7"/>
      <c r="H136" s="7"/>
      <c r="I136" s="8"/>
      <c r="J136" s="9"/>
      <c r="K136" s="9"/>
      <c r="L136" s="7"/>
      <c r="M136" s="7"/>
      <c r="N136" s="8"/>
      <c r="O136" s="9"/>
      <c r="P136" s="9"/>
      <c r="Q136" s="9"/>
      <c r="R136" s="9"/>
      <c r="S136" s="8"/>
      <c r="T136" s="9" t="str">
        <f aca="false">IF(J136="","",EDATE(MAX(J136,K136,P136,Q136,R136),36))</f>
        <v/>
      </c>
      <c r="U136" s="9" t="str">
        <f aca="false">IF(OR(L136&lt;&gt;"Email",K136="",P136&lt;&gt;"",M136="Opposition",M136="Pas intéressé",M136="Client",M136="Rendez-vous pris",M136="Numéro erroné"),"",WORKDAY(K136,5))</f>
        <v/>
      </c>
      <c r="V136" s="9" t="str">
        <f aca="false">IF(OR(P136="",Q136&lt;&gt;"",M136="Opposition",M136="Pas intéressé",M136="Client",M136="Rendez-vous pris",M136="Numéro erroné"),"",WORKDAY(P136,7))</f>
        <v/>
      </c>
      <c r="W136" s="7" t="str">
        <f aca="true">IF(M136="Opposition","Ne pas contacter",IF(AND(U136&lt;&gt;"",U136&lt;=TODAY()),"Relance 1 à envoyer",IF(AND(V136&lt;&gt;"",V136&lt;=TODAY()),"Relance 2 à envoyer",IF(AND(O136&lt;&gt;"",O136&lt;=TODAY()),"Rappel à faire",""))))</f>
        <v/>
      </c>
    </row>
    <row r="137" customFormat="false" ht="15" hidden="false" customHeight="false" outlineLevel="0" collapsed="false">
      <c r="A137" s="7" t="n">
        <v>136</v>
      </c>
      <c r="B137" s="8"/>
      <c r="C137" s="8"/>
      <c r="D137" s="7"/>
      <c r="E137" s="7"/>
      <c r="F137" s="8"/>
      <c r="G137" s="7"/>
      <c r="H137" s="7"/>
      <c r="I137" s="8"/>
      <c r="J137" s="9"/>
      <c r="K137" s="9"/>
      <c r="L137" s="7"/>
      <c r="M137" s="7"/>
      <c r="N137" s="8"/>
      <c r="O137" s="9"/>
      <c r="P137" s="9"/>
      <c r="Q137" s="9"/>
      <c r="R137" s="9"/>
      <c r="S137" s="8"/>
      <c r="T137" s="9" t="str">
        <f aca="false">IF(J137="","",EDATE(MAX(J137,K137,P137,Q137,R137),36))</f>
        <v/>
      </c>
      <c r="U137" s="9" t="str">
        <f aca="false">IF(OR(L137&lt;&gt;"Email",K137="",P137&lt;&gt;"",M137="Opposition",M137="Pas intéressé",M137="Client",M137="Rendez-vous pris",M137="Numéro erroné"),"",WORKDAY(K137,5))</f>
        <v/>
      </c>
      <c r="V137" s="9" t="str">
        <f aca="false">IF(OR(P137="",Q137&lt;&gt;"",M137="Opposition",M137="Pas intéressé",M137="Client",M137="Rendez-vous pris",M137="Numéro erroné"),"",WORKDAY(P137,7))</f>
        <v/>
      </c>
      <c r="W137" s="7" t="str">
        <f aca="true">IF(M137="Opposition","Ne pas contacter",IF(AND(U137&lt;&gt;"",U137&lt;=TODAY()),"Relance 1 à envoyer",IF(AND(V137&lt;&gt;"",V137&lt;=TODAY()),"Relance 2 à envoyer",IF(AND(O137&lt;&gt;"",O137&lt;=TODAY()),"Rappel à faire",""))))</f>
        <v/>
      </c>
    </row>
    <row r="138" customFormat="false" ht="15" hidden="false" customHeight="false" outlineLevel="0" collapsed="false">
      <c r="A138" s="7" t="n">
        <v>137</v>
      </c>
      <c r="B138" s="8"/>
      <c r="C138" s="8"/>
      <c r="D138" s="7"/>
      <c r="E138" s="7"/>
      <c r="F138" s="8"/>
      <c r="G138" s="7"/>
      <c r="H138" s="7"/>
      <c r="I138" s="8"/>
      <c r="J138" s="9"/>
      <c r="K138" s="9"/>
      <c r="L138" s="7"/>
      <c r="M138" s="7"/>
      <c r="N138" s="8"/>
      <c r="O138" s="9"/>
      <c r="P138" s="9"/>
      <c r="Q138" s="9"/>
      <c r="R138" s="9"/>
      <c r="S138" s="8"/>
      <c r="T138" s="9" t="str">
        <f aca="false">IF(J138="","",EDATE(MAX(J138,K138,P138,Q138,R138),36))</f>
        <v/>
      </c>
      <c r="U138" s="9" t="str">
        <f aca="false">IF(OR(L138&lt;&gt;"Email",K138="",P138&lt;&gt;"",M138="Opposition",M138="Pas intéressé",M138="Client",M138="Rendez-vous pris",M138="Numéro erroné"),"",WORKDAY(K138,5))</f>
        <v/>
      </c>
      <c r="V138" s="9" t="str">
        <f aca="false">IF(OR(P138="",Q138&lt;&gt;"",M138="Opposition",M138="Pas intéressé",M138="Client",M138="Rendez-vous pris",M138="Numéro erroné"),"",WORKDAY(P138,7))</f>
        <v/>
      </c>
      <c r="W138" s="7" t="str">
        <f aca="true">IF(M138="Opposition","Ne pas contacter",IF(AND(U138&lt;&gt;"",U138&lt;=TODAY()),"Relance 1 à envoyer",IF(AND(V138&lt;&gt;"",V138&lt;=TODAY()),"Relance 2 à envoyer",IF(AND(O138&lt;&gt;"",O138&lt;=TODAY()),"Rappel à faire",""))))</f>
        <v/>
      </c>
    </row>
    <row r="139" customFormat="false" ht="15" hidden="false" customHeight="false" outlineLevel="0" collapsed="false">
      <c r="A139" s="7" t="n">
        <v>138</v>
      </c>
      <c r="B139" s="8"/>
      <c r="C139" s="8"/>
      <c r="D139" s="7"/>
      <c r="E139" s="7"/>
      <c r="F139" s="8"/>
      <c r="G139" s="7"/>
      <c r="H139" s="7"/>
      <c r="I139" s="8"/>
      <c r="J139" s="9"/>
      <c r="K139" s="9"/>
      <c r="L139" s="7"/>
      <c r="M139" s="7"/>
      <c r="N139" s="8"/>
      <c r="O139" s="9"/>
      <c r="P139" s="9"/>
      <c r="Q139" s="9"/>
      <c r="R139" s="9"/>
      <c r="S139" s="8"/>
      <c r="T139" s="9" t="str">
        <f aca="false">IF(J139="","",EDATE(MAX(J139,K139,P139,Q139,R139),36))</f>
        <v/>
      </c>
      <c r="U139" s="9" t="str">
        <f aca="false">IF(OR(L139&lt;&gt;"Email",K139="",P139&lt;&gt;"",M139="Opposition",M139="Pas intéressé",M139="Client",M139="Rendez-vous pris",M139="Numéro erroné"),"",WORKDAY(K139,5))</f>
        <v/>
      </c>
      <c r="V139" s="9" t="str">
        <f aca="false">IF(OR(P139="",Q139&lt;&gt;"",M139="Opposition",M139="Pas intéressé",M139="Client",M139="Rendez-vous pris",M139="Numéro erroné"),"",WORKDAY(P139,7))</f>
        <v/>
      </c>
      <c r="W139" s="7" t="str">
        <f aca="true">IF(M139="Opposition","Ne pas contacter",IF(AND(U139&lt;&gt;"",U139&lt;=TODAY()),"Relance 1 à envoyer",IF(AND(V139&lt;&gt;"",V139&lt;=TODAY()),"Relance 2 à envoyer",IF(AND(O139&lt;&gt;"",O139&lt;=TODAY()),"Rappel à faire",""))))</f>
        <v/>
      </c>
    </row>
    <row r="140" customFormat="false" ht="15" hidden="false" customHeight="false" outlineLevel="0" collapsed="false">
      <c r="A140" s="7" t="n">
        <v>139</v>
      </c>
      <c r="B140" s="8"/>
      <c r="C140" s="8"/>
      <c r="D140" s="7"/>
      <c r="E140" s="7"/>
      <c r="F140" s="8"/>
      <c r="G140" s="7"/>
      <c r="H140" s="7"/>
      <c r="I140" s="8"/>
      <c r="J140" s="9"/>
      <c r="K140" s="9"/>
      <c r="L140" s="7"/>
      <c r="M140" s="7"/>
      <c r="N140" s="8"/>
      <c r="O140" s="9"/>
      <c r="P140" s="9"/>
      <c r="Q140" s="9"/>
      <c r="R140" s="9"/>
      <c r="S140" s="8"/>
      <c r="T140" s="9" t="str">
        <f aca="false">IF(J140="","",EDATE(MAX(J140,K140,P140,Q140,R140),36))</f>
        <v/>
      </c>
      <c r="U140" s="9" t="str">
        <f aca="false">IF(OR(L140&lt;&gt;"Email",K140="",P140&lt;&gt;"",M140="Opposition",M140="Pas intéressé",M140="Client",M140="Rendez-vous pris",M140="Numéro erroné"),"",WORKDAY(K140,5))</f>
        <v/>
      </c>
      <c r="V140" s="9" t="str">
        <f aca="false">IF(OR(P140="",Q140&lt;&gt;"",M140="Opposition",M140="Pas intéressé",M140="Client",M140="Rendez-vous pris",M140="Numéro erroné"),"",WORKDAY(P140,7))</f>
        <v/>
      </c>
      <c r="W140" s="7" t="str">
        <f aca="true">IF(M140="Opposition","Ne pas contacter",IF(AND(U140&lt;&gt;"",U140&lt;=TODAY()),"Relance 1 à envoyer",IF(AND(V140&lt;&gt;"",V140&lt;=TODAY()),"Relance 2 à envoyer",IF(AND(O140&lt;&gt;"",O140&lt;=TODAY()),"Rappel à faire",""))))</f>
        <v/>
      </c>
    </row>
    <row r="141" customFormat="false" ht="15" hidden="false" customHeight="false" outlineLevel="0" collapsed="false">
      <c r="A141" s="7" t="n">
        <v>140</v>
      </c>
      <c r="B141" s="8"/>
      <c r="C141" s="8"/>
      <c r="D141" s="7"/>
      <c r="E141" s="7"/>
      <c r="F141" s="8"/>
      <c r="G141" s="7"/>
      <c r="H141" s="7"/>
      <c r="I141" s="8"/>
      <c r="J141" s="9"/>
      <c r="K141" s="9"/>
      <c r="L141" s="7"/>
      <c r="M141" s="7"/>
      <c r="N141" s="8"/>
      <c r="O141" s="9"/>
      <c r="P141" s="9"/>
      <c r="Q141" s="9"/>
      <c r="R141" s="9"/>
      <c r="S141" s="8"/>
      <c r="T141" s="9" t="str">
        <f aca="false">IF(J141="","",EDATE(MAX(J141,K141,P141,Q141,R141),36))</f>
        <v/>
      </c>
      <c r="U141" s="9" t="str">
        <f aca="false">IF(OR(L141&lt;&gt;"Email",K141="",P141&lt;&gt;"",M141="Opposition",M141="Pas intéressé",M141="Client",M141="Rendez-vous pris",M141="Numéro erroné"),"",WORKDAY(K141,5))</f>
        <v/>
      </c>
      <c r="V141" s="9" t="str">
        <f aca="false">IF(OR(P141="",Q141&lt;&gt;"",M141="Opposition",M141="Pas intéressé",M141="Client",M141="Rendez-vous pris",M141="Numéro erroné"),"",WORKDAY(P141,7))</f>
        <v/>
      </c>
      <c r="W141" s="7" t="str">
        <f aca="true">IF(M141="Opposition","Ne pas contacter",IF(AND(U141&lt;&gt;"",U141&lt;=TODAY()),"Relance 1 à envoyer",IF(AND(V141&lt;&gt;"",V141&lt;=TODAY()),"Relance 2 à envoyer",IF(AND(O141&lt;&gt;"",O141&lt;=TODAY()),"Rappel à faire",""))))</f>
        <v/>
      </c>
    </row>
    <row r="142" customFormat="false" ht="15" hidden="false" customHeight="false" outlineLevel="0" collapsed="false">
      <c r="A142" s="7" t="n">
        <v>141</v>
      </c>
      <c r="B142" s="8"/>
      <c r="C142" s="8"/>
      <c r="D142" s="7"/>
      <c r="E142" s="7"/>
      <c r="F142" s="8"/>
      <c r="G142" s="7"/>
      <c r="H142" s="7"/>
      <c r="I142" s="8"/>
      <c r="J142" s="9"/>
      <c r="K142" s="9"/>
      <c r="L142" s="7"/>
      <c r="M142" s="7"/>
      <c r="N142" s="8"/>
      <c r="O142" s="9"/>
      <c r="P142" s="9"/>
      <c r="Q142" s="9"/>
      <c r="R142" s="9"/>
      <c r="S142" s="8"/>
      <c r="T142" s="9" t="str">
        <f aca="false">IF(J142="","",EDATE(MAX(J142,K142,P142,Q142,R142),36))</f>
        <v/>
      </c>
      <c r="U142" s="9" t="str">
        <f aca="false">IF(OR(L142&lt;&gt;"Email",K142="",P142&lt;&gt;"",M142="Opposition",M142="Pas intéressé",M142="Client",M142="Rendez-vous pris",M142="Numéro erroné"),"",WORKDAY(K142,5))</f>
        <v/>
      </c>
      <c r="V142" s="9" t="str">
        <f aca="false">IF(OR(P142="",Q142&lt;&gt;"",M142="Opposition",M142="Pas intéressé",M142="Client",M142="Rendez-vous pris",M142="Numéro erroné"),"",WORKDAY(P142,7))</f>
        <v/>
      </c>
      <c r="W142" s="7" t="str">
        <f aca="true">IF(M142="Opposition","Ne pas contacter",IF(AND(U142&lt;&gt;"",U142&lt;=TODAY()),"Relance 1 à envoyer",IF(AND(V142&lt;&gt;"",V142&lt;=TODAY()),"Relance 2 à envoyer",IF(AND(O142&lt;&gt;"",O142&lt;=TODAY()),"Rappel à faire",""))))</f>
        <v/>
      </c>
    </row>
    <row r="143" customFormat="false" ht="15" hidden="false" customHeight="false" outlineLevel="0" collapsed="false">
      <c r="A143" s="7" t="n">
        <v>142</v>
      </c>
      <c r="B143" s="8"/>
      <c r="C143" s="8"/>
      <c r="D143" s="7"/>
      <c r="E143" s="7"/>
      <c r="F143" s="8"/>
      <c r="G143" s="7"/>
      <c r="H143" s="7"/>
      <c r="I143" s="8"/>
      <c r="J143" s="9"/>
      <c r="K143" s="9"/>
      <c r="L143" s="7"/>
      <c r="M143" s="7"/>
      <c r="N143" s="8"/>
      <c r="O143" s="9"/>
      <c r="P143" s="9"/>
      <c r="Q143" s="9"/>
      <c r="R143" s="9"/>
      <c r="S143" s="8"/>
      <c r="T143" s="9" t="str">
        <f aca="false">IF(J143="","",EDATE(MAX(J143,K143,P143,Q143,R143),36))</f>
        <v/>
      </c>
      <c r="U143" s="9" t="str">
        <f aca="false">IF(OR(L143&lt;&gt;"Email",K143="",P143&lt;&gt;"",M143="Opposition",M143="Pas intéressé",M143="Client",M143="Rendez-vous pris",M143="Numéro erroné"),"",WORKDAY(K143,5))</f>
        <v/>
      </c>
      <c r="V143" s="9" t="str">
        <f aca="false">IF(OR(P143="",Q143&lt;&gt;"",M143="Opposition",M143="Pas intéressé",M143="Client",M143="Rendez-vous pris",M143="Numéro erroné"),"",WORKDAY(P143,7))</f>
        <v/>
      </c>
      <c r="W143" s="7" t="str">
        <f aca="true">IF(M143="Opposition","Ne pas contacter",IF(AND(U143&lt;&gt;"",U143&lt;=TODAY()),"Relance 1 à envoyer",IF(AND(V143&lt;&gt;"",V143&lt;=TODAY()),"Relance 2 à envoyer",IF(AND(O143&lt;&gt;"",O143&lt;=TODAY()),"Rappel à faire",""))))</f>
        <v/>
      </c>
    </row>
    <row r="144" customFormat="false" ht="15" hidden="false" customHeight="false" outlineLevel="0" collapsed="false">
      <c r="A144" s="7" t="n">
        <v>143</v>
      </c>
      <c r="B144" s="8"/>
      <c r="C144" s="8"/>
      <c r="D144" s="7"/>
      <c r="E144" s="7"/>
      <c r="F144" s="8"/>
      <c r="G144" s="7"/>
      <c r="H144" s="7"/>
      <c r="I144" s="8"/>
      <c r="J144" s="9"/>
      <c r="K144" s="9"/>
      <c r="L144" s="7"/>
      <c r="M144" s="7"/>
      <c r="N144" s="8"/>
      <c r="O144" s="9"/>
      <c r="P144" s="9"/>
      <c r="Q144" s="9"/>
      <c r="R144" s="9"/>
      <c r="S144" s="8"/>
      <c r="T144" s="9" t="str">
        <f aca="false">IF(J144="","",EDATE(MAX(J144,K144,P144,Q144,R144),36))</f>
        <v/>
      </c>
      <c r="U144" s="9" t="str">
        <f aca="false">IF(OR(L144&lt;&gt;"Email",K144="",P144&lt;&gt;"",M144="Opposition",M144="Pas intéressé",M144="Client",M144="Rendez-vous pris",M144="Numéro erroné"),"",WORKDAY(K144,5))</f>
        <v/>
      </c>
      <c r="V144" s="9" t="str">
        <f aca="false">IF(OR(P144="",Q144&lt;&gt;"",M144="Opposition",M144="Pas intéressé",M144="Client",M144="Rendez-vous pris",M144="Numéro erroné"),"",WORKDAY(P144,7))</f>
        <v/>
      </c>
      <c r="W144" s="7" t="str">
        <f aca="true">IF(M144="Opposition","Ne pas contacter",IF(AND(U144&lt;&gt;"",U144&lt;=TODAY()),"Relance 1 à envoyer",IF(AND(V144&lt;&gt;"",V144&lt;=TODAY()),"Relance 2 à envoyer",IF(AND(O144&lt;&gt;"",O144&lt;=TODAY()),"Rappel à faire",""))))</f>
        <v/>
      </c>
    </row>
    <row r="145" customFormat="false" ht="15" hidden="false" customHeight="false" outlineLevel="0" collapsed="false">
      <c r="A145" s="7" t="n">
        <v>144</v>
      </c>
      <c r="B145" s="8"/>
      <c r="C145" s="8"/>
      <c r="D145" s="7"/>
      <c r="E145" s="7"/>
      <c r="F145" s="8"/>
      <c r="G145" s="7"/>
      <c r="H145" s="7"/>
      <c r="I145" s="8"/>
      <c r="J145" s="9"/>
      <c r="K145" s="9"/>
      <c r="L145" s="7"/>
      <c r="M145" s="7"/>
      <c r="N145" s="8"/>
      <c r="O145" s="9"/>
      <c r="P145" s="9"/>
      <c r="Q145" s="9"/>
      <c r="R145" s="9"/>
      <c r="S145" s="8"/>
      <c r="T145" s="9" t="str">
        <f aca="false">IF(J145="","",EDATE(MAX(J145,K145,P145,Q145,R145),36))</f>
        <v/>
      </c>
      <c r="U145" s="9" t="str">
        <f aca="false">IF(OR(L145&lt;&gt;"Email",K145="",P145&lt;&gt;"",M145="Opposition",M145="Pas intéressé",M145="Client",M145="Rendez-vous pris",M145="Numéro erroné"),"",WORKDAY(K145,5))</f>
        <v/>
      </c>
      <c r="V145" s="9" t="str">
        <f aca="false">IF(OR(P145="",Q145&lt;&gt;"",M145="Opposition",M145="Pas intéressé",M145="Client",M145="Rendez-vous pris",M145="Numéro erroné"),"",WORKDAY(P145,7))</f>
        <v/>
      </c>
      <c r="W145" s="7" t="str">
        <f aca="true">IF(M145="Opposition","Ne pas contacter",IF(AND(U145&lt;&gt;"",U145&lt;=TODAY()),"Relance 1 à envoyer",IF(AND(V145&lt;&gt;"",V145&lt;=TODAY()),"Relance 2 à envoyer",IF(AND(O145&lt;&gt;"",O145&lt;=TODAY()),"Rappel à faire",""))))</f>
        <v/>
      </c>
    </row>
    <row r="146" customFormat="false" ht="15" hidden="false" customHeight="false" outlineLevel="0" collapsed="false">
      <c r="A146" s="7" t="n">
        <v>145</v>
      </c>
      <c r="B146" s="8"/>
      <c r="C146" s="8"/>
      <c r="D146" s="7"/>
      <c r="E146" s="7"/>
      <c r="F146" s="8"/>
      <c r="G146" s="7"/>
      <c r="H146" s="7"/>
      <c r="I146" s="8"/>
      <c r="J146" s="9"/>
      <c r="K146" s="9"/>
      <c r="L146" s="7"/>
      <c r="M146" s="7"/>
      <c r="N146" s="8"/>
      <c r="O146" s="9"/>
      <c r="P146" s="9"/>
      <c r="Q146" s="9"/>
      <c r="R146" s="9"/>
      <c r="S146" s="8"/>
      <c r="T146" s="9" t="str">
        <f aca="false">IF(J146="","",EDATE(MAX(J146,K146,P146,Q146,R146),36))</f>
        <v/>
      </c>
      <c r="U146" s="9" t="str">
        <f aca="false">IF(OR(L146&lt;&gt;"Email",K146="",P146&lt;&gt;"",M146="Opposition",M146="Pas intéressé",M146="Client",M146="Rendez-vous pris",M146="Numéro erroné"),"",WORKDAY(K146,5))</f>
        <v/>
      </c>
      <c r="V146" s="9" t="str">
        <f aca="false">IF(OR(P146="",Q146&lt;&gt;"",M146="Opposition",M146="Pas intéressé",M146="Client",M146="Rendez-vous pris",M146="Numéro erroné"),"",WORKDAY(P146,7))</f>
        <v/>
      </c>
      <c r="W146" s="7" t="str">
        <f aca="true">IF(M146="Opposition","Ne pas contacter",IF(AND(U146&lt;&gt;"",U146&lt;=TODAY()),"Relance 1 à envoyer",IF(AND(V146&lt;&gt;"",V146&lt;=TODAY()),"Relance 2 à envoyer",IF(AND(O146&lt;&gt;"",O146&lt;=TODAY()),"Rappel à faire",""))))</f>
        <v/>
      </c>
    </row>
    <row r="147" customFormat="false" ht="15" hidden="false" customHeight="false" outlineLevel="0" collapsed="false">
      <c r="A147" s="7" t="n">
        <v>146</v>
      </c>
      <c r="B147" s="8"/>
      <c r="C147" s="8"/>
      <c r="D147" s="7"/>
      <c r="E147" s="7"/>
      <c r="F147" s="8"/>
      <c r="G147" s="7"/>
      <c r="H147" s="7"/>
      <c r="I147" s="8"/>
      <c r="J147" s="9"/>
      <c r="K147" s="9"/>
      <c r="L147" s="7"/>
      <c r="M147" s="7"/>
      <c r="N147" s="8"/>
      <c r="O147" s="9"/>
      <c r="P147" s="9"/>
      <c r="Q147" s="9"/>
      <c r="R147" s="9"/>
      <c r="S147" s="8"/>
      <c r="T147" s="9" t="str">
        <f aca="false">IF(J147="","",EDATE(MAX(J147,K147,P147,Q147,R147),36))</f>
        <v/>
      </c>
      <c r="U147" s="9" t="str">
        <f aca="false">IF(OR(L147&lt;&gt;"Email",K147="",P147&lt;&gt;"",M147="Opposition",M147="Pas intéressé",M147="Client",M147="Rendez-vous pris",M147="Numéro erroné"),"",WORKDAY(K147,5))</f>
        <v/>
      </c>
      <c r="V147" s="9" t="str">
        <f aca="false">IF(OR(P147="",Q147&lt;&gt;"",M147="Opposition",M147="Pas intéressé",M147="Client",M147="Rendez-vous pris",M147="Numéro erroné"),"",WORKDAY(P147,7))</f>
        <v/>
      </c>
      <c r="W147" s="7" t="str">
        <f aca="true">IF(M147="Opposition","Ne pas contacter",IF(AND(U147&lt;&gt;"",U147&lt;=TODAY()),"Relance 1 à envoyer",IF(AND(V147&lt;&gt;"",V147&lt;=TODAY()),"Relance 2 à envoyer",IF(AND(O147&lt;&gt;"",O147&lt;=TODAY()),"Rappel à faire",""))))</f>
        <v/>
      </c>
    </row>
    <row r="148" customFormat="false" ht="15" hidden="false" customHeight="false" outlineLevel="0" collapsed="false">
      <c r="A148" s="7" t="n">
        <v>147</v>
      </c>
      <c r="B148" s="8"/>
      <c r="C148" s="8"/>
      <c r="D148" s="7"/>
      <c r="E148" s="7"/>
      <c r="F148" s="8"/>
      <c r="G148" s="7"/>
      <c r="H148" s="7"/>
      <c r="I148" s="8"/>
      <c r="J148" s="9"/>
      <c r="K148" s="9"/>
      <c r="L148" s="7"/>
      <c r="M148" s="7"/>
      <c r="N148" s="8"/>
      <c r="O148" s="9"/>
      <c r="P148" s="9"/>
      <c r="Q148" s="9"/>
      <c r="R148" s="9"/>
      <c r="S148" s="8"/>
      <c r="T148" s="9" t="str">
        <f aca="false">IF(J148="","",EDATE(MAX(J148,K148,P148,Q148,R148),36))</f>
        <v/>
      </c>
      <c r="U148" s="9" t="str">
        <f aca="false">IF(OR(L148&lt;&gt;"Email",K148="",P148&lt;&gt;"",M148="Opposition",M148="Pas intéressé",M148="Client",M148="Rendez-vous pris",M148="Numéro erroné"),"",WORKDAY(K148,5))</f>
        <v/>
      </c>
      <c r="V148" s="9" t="str">
        <f aca="false">IF(OR(P148="",Q148&lt;&gt;"",M148="Opposition",M148="Pas intéressé",M148="Client",M148="Rendez-vous pris",M148="Numéro erroné"),"",WORKDAY(P148,7))</f>
        <v/>
      </c>
      <c r="W148" s="7" t="str">
        <f aca="true">IF(M148="Opposition","Ne pas contacter",IF(AND(U148&lt;&gt;"",U148&lt;=TODAY()),"Relance 1 à envoyer",IF(AND(V148&lt;&gt;"",V148&lt;=TODAY()),"Relance 2 à envoyer",IF(AND(O148&lt;&gt;"",O148&lt;=TODAY()),"Rappel à faire",""))))</f>
        <v/>
      </c>
    </row>
    <row r="149" customFormat="false" ht="15" hidden="false" customHeight="false" outlineLevel="0" collapsed="false">
      <c r="A149" s="7" t="n">
        <v>148</v>
      </c>
      <c r="B149" s="8"/>
      <c r="C149" s="8"/>
      <c r="D149" s="7"/>
      <c r="E149" s="7"/>
      <c r="F149" s="8"/>
      <c r="G149" s="7"/>
      <c r="H149" s="7"/>
      <c r="I149" s="8"/>
      <c r="J149" s="9"/>
      <c r="K149" s="9"/>
      <c r="L149" s="7"/>
      <c r="M149" s="7"/>
      <c r="N149" s="8"/>
      <c r="O149" s="9"/>
      <c r="P149" s="9"/>
      <c r="Q149" s="9"/>
      <c r="R149" s="9"/>
      <c r="S149" s="8"/>
      <c r="T149" s="9" t="str">
        <f aca="false">IF(J149="","",EDATE(MAX(J149,K149,P149,Q149,R149),36))</f>
        <v/>
      </c>
      <c r="U149" s="9" t="str">
        <f aca="false">IF(OR(L149&lt;&gt;"Email",K149="",P149&lt;&gt;"",M149="Opposition",M149="Pas intéressé",M149="Client",M149="Rendez-vous pris",M149="Numéro erroné"),"",WORKDAY(K149,5))</f>
        <v/>
      </c>
      <c r="V149" s="9" t="str">
        <f aca="false">IF(OR(P149="",Q149&lt;&gt;"",M149="Opposition",M149="Pas intéressé",M149="Client",M149="Rendez-vous pris",M149="Numéro erroné"),"",WORKDAY(P149,7))</f>
        <v/>
      </c>
      <c r="W149" s="7" t="str">
        <f aca="true">IF(M149="Opposition","Ne pas contacter",IF(AND(U149&lt;&gt;"",U149&lt;=TODAY()),"Relance 1 à envoyer",IF(AND(V149&lt;&gt;"",V149&lt;=TODAY()),"Relance 2 à envoyer",IF(AND(O149&lt;&gt;"",O149&lt;=TODAY()),"Rappel à faire",""))))</f>
        <v/>
      </c>
    </row>
    <row r="150" customFormat="false" ht="15" hidden="false" customHeight="false" outlineLevel="0" collapsed="false">
      <c r="A150" s="7" t="n">
        <v>149</v>
      </c>
      <c r="B150" s="8"/>
      <c r="C150" s="8"/>
      <c r="D150" s="7"/>
      <c r="E150" s="7"/>
      <c r="F150" s="8"/>
      <c r="G150" s="7"/>
      <c r="H150" s="7"/>
      <c r="I150" s="8"/>
      <c r="J150" s="9"/>
      <c r="K150" s="9"/>
      <c r="L150" s="7"/>
      <c r="M150" s="7"/>
      <c r="N150" s="8"/>
      <c r="O150" s="9"/>
      <c r="P150" s="9"/>
      <c r="Q150" s="9"/>
      <c r="R150" s="9"/>
      <c r="S150" s="8"/>
      <c r="T150" s="9" t="str">
        <f aca="false">IF(J150="","",EDATE(MAX(J150,K150,P150,Q150,R150),36))</f>
        <v/>
      </c>
      <c r="U150" s="9" t="str">
        <f aca="false">IF(OR(L150&lt;&gt;"Email",K150="",P150&lt;&gt;"",M150="Opposition",M150="Pas intéressé",M150="Client",M150="Rendez-vous pris",M150="Numéro erroné"),"",WORKDAY(K150,5))</f>
        <v/>
      </c>
      <c r="V150" s="9" t="str">
        <f aca="false">IF(OR(P150="",Q150&lt;&gt;"",M150="Opposition",M150="Pas intéressé",M150="Client",M150="Rendez-vous pris",M150="Numéro erroné"),"",WORKDAY(P150,7))</f>
        <v/>
      </c>
      <c r="W150" s="7" t="str">
        <f aca="true">IF(M150="Opposition","Ne pas contacter",IF(AND(U150&lt;&gt;"",U150&lt;=TODAY()),"Relance 1 à envoyer",IF(AND(V150&lt;&gt;"",V150&lt;=TODAY()),"Relance 2 à envoyer",IF(AND(O150&lt;&gt;"",O150&lt;=TODAY()),"Rappel à faire",""))))</f>
        <v/>
      </c>
    </row>
    <row r="151" customFormat="false" ht="15" hidden="false" customHeight="false" outlineLevel="0" collapsed="false">
      <c r="A151" s="7" t="n">
        <v>150</v>
      </c>
      <c r="B151" s="8"/>
      <c r="C151" s="8"/>
      <c r="D151" s="7"/>
      <c r="E151" s="7"/>
      <c r="F151" s="8"/>
      <c r="G151" s="7"/>
      <c r="H151" s="7"/>
      <c r="I151" s="8"/>
      <c r="J151" s="9"/>
      <c r="K151" s="9"/>
      <c r="L151" s="7"/>
      <c r="M151" s="7"/>
      <c r="N151" s="8"/>
      <c r="O151" s="9"/>
      <c r="P151" s="9"/>
      <c r="Q151" s="9"/>
      <c r="R151" s="9"/>
      <c r="S151" s="8"/>
      <c r="T151" s="9" t="str">
        <f aca="false">IF(J151="","",EDATE(MAX(J151,K151,P151,Q151,R151),36))</f>
        <v/>
      </c>
      <c r="U151" s="9" t="str">
        <f aca="false">IF(OR(L151&lt;&gt;"Email",K151="",P151&lt;&gt;"",M151="Opposition",M151="Pas intéressé",M151="Client",M151="Rendez-vous pris",M151="Numéro erroné"),"",WORKDAY(K151,5))</f>
        <v/>
      </c>
      <c r="V151" s="9" t="str">
        <f aca="false">IF(OR(P151="",Q151&lt;&gt;"",M151="Opposition",M151="Pas intéressé",M151="Client",M151="Rendez-vous pris",M151="Numéro erroné"),"",WORKDAY(P151,7))</f>
        <v/>
      </c>
      <c r="W151" s="7" t="str">
        <f aca="true">IF(M151="Opposition","Ne pas contacter",IF(AND(U151&lt;&gt;"",U151&lt;=TODAY()),"Relance 1 à envoyer",IF(AND(V151&lt;&gt;"",V151&lt;=TODAY()),"Relance 2 à envoyer",IF(AND(O151&lt;&gt;"",O151&lt;=TODAY()),"Rappel à faire",""))))</f>
        <v/>
      </c>
    </row>
    <row r="152" customFormat="false" ht="15" hidden="false" customHeight="false" outlineLevel="0" collapsed="false">
      <c r="A152" s="7" t="n">
        <v>151</v>
      </c>
      <c r="B152" s="8"/>
      <c r="C152" s="8"/>
      <c r="D152" s="7"/>
      <c r="E152" s="7"/>
      <c r="F152" s="8"/>
      <c r="G152" s="7"/>
      <c r="H152" s="7"/>
      <c r="I152" s="8"/>
      <c r="J152" s="9"/>
      <c r="K152" s="9"/>
      <c r="L152" s="7"/>
      <c r="M152" s="7"/>
      <c r="N152" s="8"/>
      <c r="O152" s="9"/>
      <c r="P152" s="9"/>
      <c r="Q152" s="9"/>
      <c r="R152" s="9"/>
      <c r="S152" s="8"/>
      <c r="T152" s="9" t="str">
        <f aca="false">IF(J152="","",EDATE(MAX(J152,K152,P152,Q152,R152),36))</f>
        <v/>
      </c>
      <c r="U152" s="9" t="str">
        <f aca="false">IF(OR(L152&lt;&gt;"Email",K152="",P152&lt;&gt;"",M152="Opposition",M152="Pas intéressé",M152="Client",M152="Rendez-vous pris",M152="Numéro erroné"),"",WORKDAY(K152,5))</f>
        <v/>
      </c>
      <c r="V152" s="9" t="str">
        <f aca="false">IF(OR(P152="",Q152&lt;&gt;"",M152="Opposition",M152="Pas intéressé",M152="Client",M152="Rendez-vous pris",M152="Numéro erroné"),"",WORKDAY(P152,7))</f>
        <v/>
      </c>
      <c r="W152" s="7" t="str">
        <f aca="true">IF(M152="Opposition","Ne pas contacter",IF(AND(U152&lt;&gt;"",U152&lt;=TODAY()),"Relance 1 à envoyer",IF(AND(V152&lt;&gt;"",V152&lt;=TODAY()),"Relance 2 à envoyer",IF(AND(O152&lt;&gt;"",O152&lt;=TODAY()),"Rappel à faire",""))))</f>
        <v/>
      </c>
    </row>
    <row r="153" customFormat="false" ht="15" hidden="false" customHeight="false" outlineLevel="0" collapsed="false">
      <c r="A153" s="7" t="n">
        <v>152</v>
      </c>
      <c r="B153" s="8"/>
      <c r="C153" s="8"/>
      <c r="D153" s="7"/>
      <c r="E153" s="7"/>
      <c r="F153" s="8"/>
      <c r="G153" s="7"/>
      <c r="H153" s="7"/>
      <c r="I153" s="8"/>
      <c r="J153" s="9"/>
      <c r="K153" s="9"/>
      <c r="L153" s="7"/>
      <c r="M153" s="7"/>
      <c r="N153" s="8"/>
      <c r="O153" s="9"/>
      <c r="P153" s="9"/>
      <c r="Q153" s="9"/>
      <c r="R153" s="9"/>
      <c r="S153" s="8"/>
      <c r="T153" s="9" t="str">
        <f aca="false">IF(J153="","",EDATE(MAX(J153,K153,P153,Q153,R153),36))</f>
        <v/>
      </c>
      <c r="U153" s="9" t="str">
        <f aca="false">IF(OR(L153&lt;&gt;"Email",K153="",P153&lt;&gt;"",M153="Opposition",M153="Pas intéressé",M153="Client",M153="Rendez-vous pris",M153="Numéro erroné"),"",WORKDAY(K153,5))</f>
        <v/>
      </c>
      <c r="V153" s="9" t="str">
        <f aca="false">IF(OR(P153="",Q153&lt;&gt;"",M153="Opposition",M153="Pas intéressé",M153="Client",M153="Rendez-vous pris",M153="Numéro erroné"),"",WORKDAY(P153,7))</f>
        <v/>
      </c>
      <c r="W153" s="7" t="str">
        <f aca="true">IF(M153="Opposition","Ne pas contacter",IF(AND(U153&lt;&gt;"",U153&lt;=TODAY()),"Relance 1 à envoyer",IF(AND(V153&lt;&gt;"",V153&lt;=TODAY()),"Relance 2 à envoyer",IF(AND(O153&lt;&gt;"",O153&lt;=TODAY()),"Rappel à faire",""))))</f>
        <v/>
      </c>
    </row>
    <row r="154" customFormat="false" ht="15" hidden="false" customHeight="false" outlineLevel="0" collapsed="false">
      <c r="A154" s="7" t="n">
        <v>153</v>
      </c>
      <c r="B154" s="8"/>
      <c r="C154" s="8"/>
      <c r="D154" s="7"/>
      <c r="E154" s="7"/>
      <c r="F154" s="8"/>
      <c r="G154" s="7"/>
      <c r="H154" s="7"/>
      <c r="I154" s="8"/>
      <c r="J154" s="9"/>
      <c r="K154" s="9"/>
      <c r="L154" s="7"/>
      <c r="M154" s="7"/>
      <c r="N154" s="8"/>
      <c r="O154" s="9"/>
      <c r="P154" s="9"/>
      <c r="Q154" s="9"/>
      <c r="R154" s="9"/>
      <c r="S154" s="8"/>
      <c r="T154" s="9" t="str">
        <f aca="false">IF(J154="","",EDATE(MAX(J154,K154,P154,Q154,R154),36))</f>
        <v/>
      </c>
      <c r="U154" s="9" t="str">
        <f aca="false">IF(OR(L154&lt;&gt;"Email",K154="",P154&lt;&gt;"",M154="Opposition",M154="Pas intéressé",M154="Client",M154="Rendez-vous pris",M154="Numéro erroné"),"",WORKDAY(K154,5))</f>
        <v/>
      </c>
      <c r="V154" s="9" t="str">
        <f aca="false">IF(OR(P154="",Q154&lt;&gt;"",M154="Opposition",M154="Pas intéressé",M154="Client",M154="Rendez-vous pris",M154="Numéro erroné"),"",WORKDAY(P154,7))</f>
        <v/>
      </c>
      <c r="W154" s="7" t="str">
        <f aca="true">IF(M154="Opposition","Ne pas contacter",IF(AND(U154&lt;&gt;"",U154&lt;=TODAY()),"Relance 1 à envoyer",IF(AND(V154&lt;&gt;"",V154&lt;=TODAY()),"Relance 2 à envoyer",IF(AND(O154&lt;&gt;"",O154&lt;=TODAY()),"Rappel à faire",""))))</f>
        <v/>
      </c>
    </row>
    <row r="155" customFormat="false" ht="15" hidden="false" customHeight="false" outlineLevel="0" collapsed="false">
      <c r="A155" s="7" t="n">
        <v>154</v>
      </c>
      <c r="B155" s="8"/>
      <c r="C155" s="8"/>
      <c r="D155" s="7"/>
      <c r="E155" s="7"/>
      <c r="F155" s="8"/>
      <c r="G155" s="7"/>
      <c r="H155" s="7"/>
      <c r="I155" s="8"/>
      <c r="J155" s="9"/>
      <c r="K155" s="9"/>
      <c r="L155" s="7"/>
      <c r="M155" s="7"/>
      <c r="N155" s="8"/>
      <c r="O155" s="9"/>
      <c r="P155" s="9"/>
      <c r="Q155" s="9"/>
      <c r="R155" s="9"/>
      <c r="S155" s="8"/>
      <c r="T155" s="9" t="str">
        <f aca="false">IF(J155="","",EDATE(MAX(J155,K155,P155,Q155,R155),36))</f>
        <v/>
      </c>
      <c r="U155" s="9" t="str">
        <f aca="false">IF(OR(L155&lt;&gt;"Email",K155="",P155&lt;&gt;"",M155="Opposition",M155="Pas intéressé",M155="Client",M155="Rendez-vous pris",M155="Numéro erroné"),"",WORKDAY(K155,5))</f>
        <v/>
      </c>
      <c r="V155" s="9" t="str">
        <f aca="false">IF(OR(P155="",Q155&lt;&gt;"",M155="Opposition",M155="Pas intéressé",M155="Client",M155="Rendez-vous pris",M155="Numéro erroné"),"",WORKDAY(P155,7))</f>
        <v/>
      </c>
      <c r="W155" s="7" t="str">
        <f aca="true">IF(M155="Opposition","Ne pas contacter",IF(AND(U155&lt;&gt;"",U155&lt;=TODAY()),"Relance 1 à envoyer",IF(AND(V155&lt;&gt;"",V155&lt;=TODAY()),"Relance 2 à envoyer",IF(AND(O155&lt;&gt;"",O155&lt;=TODAY()),"Rappel à faire",""))))</f>
        <v/>
      </c>
    </row>
    <row r="156" customFormat="false" ht="15" hidden="false" customHeight="false" outlineLevel="0" collapsed="false">
      <c r="A156" s="7" t="n">
        <v>155</v>
      </c>
      <c r="B156" s="8"/>
      <c r="C156" s="8"/>
      <c r="D156" s="7"/>
      <c r="E156" s="7"/>
      <c r="F156" s="8"/>
      <c r="G156" s="7"/>
      <c r="H156" s="7"/>
      <c r="I156" s="8"/>
      <c r="J156" s="9"/>
      <c r="K156" s="9"/>
      <c r="L156" s="7"/>
      <c r="M156" s="7"/>
      <c r="N156" s="8"/>
      <c r="O156" s="9"/>
      <c r="P156" s="9"/>
      <c r="Q156" s="9"/>
      <c r="R156" s="9"/>
      <c r="S156" s="8"/>
      <c r="T156" s="9" t="str">
        <f aca="false">IF(J156="","",EDATE(MAX(J156,K156,P156,Q156,R156),36))</f>
        <v/>
      </c>
      <c r="U156" s="9" t="str">
        <f aca="false">IF(OR(L156&lt;&gt;"Email",K156="",P156&lt;&gt;"",M156="Opposition",M156="Pas intéressé",M156="Client",M156="Rendez-vous pris",M156="Numéro erroné"),"",WORKDAY(K156,5))</f>
        <v/>
      </c>
      <c r="V156" s="9" t="str">
        <f aca="false">IF(OR(P156="",Q156&lt;&gt;"",M156="Opposition",M156="Pas intéressé",M156="Client",M156="Rendez-vous pris",M156="Numéro erroné"),"",WORKDAY(P156,7))</f>
        <v/>
      </c>
      <c r="W156" s="7" t="str">
        <f aca="true">IF(M156="Opposition","Ne pas contacter",IF(AND(U156&lt;&gt;"",U156&lt;=TODAY()),"Relance 1 à envoyer",IF(AND(V156&lt;&gt;"",V156&lt;=TODAY()),"Relance 2 à envoyer",IF(AND(O156&lt;&gt;"",O156&lt;=TODAY()),"Rappel à faire",""))))</f>
        <v/>
      </c>
    </row>
    <row r="157" customFormat="false" ht="15" hidden="false" customHeight="false" outlineLevel="0" collapsed="false">
      <c r="A157" s="7" t="n">
        <v>156</v>
      </c>
      <c r="B157" s="8"/>
      <c r="C157" s="8"/>
      <c r="D157" s="7"/>
      <c r="E157" s="7"/>
      <c r="F157" s="8"/>
      <c r="G157" s="7"/>
      <c r="H157" s="7"/>
      <c r="I157" s="8"/>
      <c r="J157" s="9"/>
      <c r="K157" s="9"/>
      <c r="L157" s="7"/>
      <c r="M157" s="7"/>
      <c r="N157" s="8"/>
      <c r="O157" s="9"/>
      <c r="P157" s="9"/>
      <c r="Q157" s="9"/>
      <c r="R157" s="9"/>
      <c r="S157" s="8"/>
      <c r="T157" s="9" t="str">
        <f aca="false">IF(J157="","",EDATE(MAX(J157,K157,P157,Q157,R157),36))</f>
        <v/>
      </c>
      <c r="U157" s="9" t="str">
        <f aca="false">IF(OR(L157&lt;&gt;"Email",K157="",P157&lt;&gt;"",M157="Opposition",M157="Pas intéressé",M157="Client",M157="Rendez-vous pris",M157="Numéro erroné"),"",WORKDAY(K157,5))</f>
        <v/>
      </c>
      <c r="V157" s="9" t="str">
        <f aca="false">IF(OR(P157="",Q157&lt;&gt;"",M157="Opposition",M157="Pas intéressé",M157="Client",M157="Rendez-vous pris",M157="Numéro erroné"),"",WORKDAY(P157,7))</f>
        <v/>
      </c>
      <c r="W157" s="7" t="str">
        <f aca="true">IF(M157="Opposition","Ne pas contacter",IF(AND(U157&lt;&gt;"",U157&lt;=TODAY()),"Relance 1 à envoyer",IF(AND(V157&lt;&gt;"",V157&lt;=TODAY()),"Relance 2 à envoyer",IF(AND(O157&lt;&gt;"",O157&lt;=TODAY()),"Rappel à faire",""))))</f>
        <v/>
      </c>
    </row>
    <row r="158" customFormat="false" ht="15" hidden="false" customHeight="false" outlineLevel="0" collapsed="false">
      <c r="A158" s="7" t="n">
        <v>157</v>
      </c>
      <c r="B158" s="8"/>
      <c r="C158" s="8"/>
      <c r="D158" s="7"/>
      <c r="E158" s="7"/>
      <c r="F158" s="8"/>
      <c r="G158" s="7"/>
      <c r="H158" s="7"/>
      <c r="I158" s="8"/>
      <c r="J158" s="9"/>
      <c r="K158" s="9"/>
      <c r="L158" s="7"/>
      <c r="M158" s="7"/>
      <c r="N158" s="8"/>
      <c r="O158" s="9"/>
      <c r="P158" s="9"/>
      <c r="Q158" s="9"/>
      <c r="R158" s="9"/>
      <c r="S158" s="8"/>
      <c r="T158" s="9" t="str">
        <f aca="false">IF(J158="","",EDATE(MAX(J158,K158,P158,Q158,R158),36))</f>
        <v/>
      </c>
      <c r="U158" s="9" t="str">
        <f aca="false">IF(OR(L158&lt;&gt;"Email",K158="",P158&lt;&gt;"",M158="Opposition",M158="Pas intéressé",M158="Client",M158="Rendez-vous pris",M158="Numéro erroné"),"",WORKDAY(K158,5))</f>
        <v/>
      </c>
      <c r="V158" s="9" t="str">
        <f aca="false">IF(OR(P158="",Q158&lt;&gt;"",M158="Opposition",M158="Pas intéressé",M158="Client",M158="Rendez-vous pris",M158="Numéro erroné"),"",WORKDAY(P158,7))</f>
        <v/>
      </c>
      <c r="W158" s="7" t="str">
        <f aca="true">IF(M158="Opposition","Ne pas contacter",IF(AND(U158&lt;&gt;"",U158&lt;=TODAY()),"Relance 1 à envoyer",IF(AND(V158&lt;&gt;"",V158&lt;=TODAY()),"Relance 2 à envoyer",IF(AND(O158&lt;&gt;"",O158&lt;=TODAY()),"Rappel à faire",""))))</f>
        <v/>
      </c>
    </row>
    <row r="159" customFormat="false" ht="15" hidden="false" customHeight="false" outlineLevel="0" collapsed="false">
      <c r="A159" s="7" t="n">
        <v>158</v>
      </c>
      <c r="B159" s="8"/>
      <c r="C159" s="8"/>
      <c r="D159" s="7"/>
      <c r="E159" s="7"/>
      <c r="F159" s="8"/>
      <c r="G159" s="7"/>
      <c r="H159" s="7"/>
      <c r="I159" s="8"/>
      <c r="J159" s="9"/>
      <c r="K159" s="9"/>
      <c r="L159" s="7"/>
      <c r="M159" s="7"/>
      <c r="N159" s="8"/>
      <c r="O159" s="9"/>
      <c r="P159" s="9"/>
      <c r="Q159" s="9"/>
      <c r="R159" s="9"/>
      <c r="S159" s="8"/>
      <c r="T159" s="9" t="str">
        <f aca="false">IF(J159="","",EDATE(MAX(J159,K159,P159,Q159,R159),36))</f>
        <v/>
      </c>
      <c r="U159" s="9" t="str">
        <f aca="false">IF(OR(L159&lt;&gt;"Email",K159="",P159&lt;&gt;"",M159="Opposition",M159="Pas intéressé",M159="Client",M159="Rendez-vous pris",M159="Numéro erroné"),"",WORKDAY(K159,5))</f>
        <v/>
      </c>
      <c r="V159" s="9" t="str">
        <f aca="false">IF(OR(P159="",Q159&lt;&gt;"",M159="Opposition",M159="Pas intéressé",M159="Client",M159="Rendez-vous pris",M159="Numéro erroné"),"",WORKDAY(P159,7))</f>
        <v/>
      </c>
      <c r="W159" s="7" t="str">
        <f aca="true">IF(M159="Opposition","Ne pas contacter",IF(AND(U159&lt;&gt;"",U159&lt;=TODAY()),"Relance 1 à envoyer",IF(AND(V159&lt;&gt;"",V159&lt;=TODAY()),"Relance 2 à envoyer",IF(AND(O159&lt;&gt;"",O159&lt;=TODAY()),"Rappel à faire",""))))</f>
        <v/>
      </c>
    </row>
    <row r="160" customFormat="false" ht="15" hidden="false" customHeight="false" outlineLevel="0" collapsed="false">
      <c r="A160" s="7" t="n">
        <v>159</v>
      </c>
      <c r="B160" s="8"/>
      <c r="C160" s="8"/>
      <c r="D160" s="7"/>
      <c r="E160" s="7"/>
      <c r="F160" s="8"/>
      <c r="G160" s="7"/>
      <c r="H160" s="7"/>
      <c r="I160" s="8"/>
      <c r="J160" s="9"/>
      <c r="K160" s="9"/>
      <c r="L160" s="7"/>
      <c r="M160" s="7"/>
      <c r="N160" s="8"/>
      <c r="O160" s="9"/>
      <c r="P160" s="9"/>
      <c r="Q160" s="9"/>
      <c r="R160" s="9"/>
      <c r="S160" s="8"/>
      <c r="T160" s="9" t="str">
        <f aca="false">IF(J160="","",EDATE(MAX(J160,K160,P160,Q160,R160),36))</f>
        <v/>
      </c>
      <c r="U160" s="9" t="str">
        <f aca="false">IF(OR(L160&lt;&gt;"Email",K160="",P160&lt;&gt;"",M160="Opposition",M160="Pas intéressé",M160="Client",M160="Rendez-vous pris",M160="Numéro erroné"),"",WORKDAY(K160,5))</f>
        <v/>
      </c>
      <c r="V160" s="9" t="str">
        <f aca="false">IF(OR(P160="",Q160&lt;&gt;"",M160="Opposition",M160="Pas intéressé",M160="Client",M160="Rendez-vous pris",M160="Numéro erroné"),"",WORKDAY(P160,7))</f>
        <v/>
      </c>
      <c r="W160" s="7" t="str">
        <f aca="true">IF(M160="Opposition","Ne pas contacter",IF(AND(U160&lt;&gt;"",U160&lt;=TODAY()),"Relance 1 à envoyer",IF(AND(V160&lt;&gt;"",V160&lt;=TODAY()),"Relance 2 à envoyer",IF(AND(O160&lt;&gt;"",O160&lt;=TODAY()),"Rappel à faire",""))))</f>
        <v/>
      </c>
    </row>
    <row r="161" customFormat="false" ht="15" hidden="false" customHeight="false" outlineLevel="0" collapsed="false">
      <c r="A161" s="7" t="n">
        <v>160</v>
      </c>
      <c r="B161" s="8"/>
      <c r="C161" s="8"/>
      <c r="D161" s="7"/>
      <c r="E161" s="7"/>
      <c r="F161" s="8"/>
      <c r="G161" s="7"/>
      <c r="H161" s="7"/>
      <c r="I161" s="8"/>
      <c r="J161" s="9"/>
      <c r="K161" s="9"/>
      <c r="L161" s="7"/>
      <c r="M161" s="7"/>
      <c r="N161" s="8"/>
      <c r="O161" s="9"/>
      <c r="P161" s="9"/>
      <c r="Q161" s="9"/>
      <c r="R161" s="9"/>
      <c r="S161" s="8"/>
      <c r="T161" s="9" t="str">
        <f aca="false">IF(J161="","",EDATE(MAX(J161,K161,P161,Q161,R161),36))</f>
        <v/>
      </c>
      <c r="U161" s="9" t="str">
        <f aca="false">IF(OR(L161&lt;&gt;"Email",K161="",P161&lt;&gt;"",M161="Opposition",M161="Pas intéressé",M161="Client",M161="Rendez-vous pris",M161="Numéro erroné"),"",WORKDAY(K161,5))</f>
        <v/>
      </c>
      <c r="V161" s="9" t="str">
        <f aca="false">IF(OR(P161="",Q161&lt;&gt;"",M161="Opposition",M161="Pas intéressé",M161="Client",M161="Rendez-vous pris",M161="Numéro erroné"),"",WORKDAY(P161,7))</f>
        <v/>
      </c>
      <c r="W161" s="7" t="str">
        <f aca="true">IF(M161="Opposition","Ne pas contacter",IF(AND(U161&lt;&gt;"",U161&lt;=TODAY()),"Relance 1 à envoyer",IF(AND(V161&lt;&gt;"",V161&lt;=TODAY()),"Relance 2 à envoyer",IF(AND(O161&lt;&gt;"",O161&lt;=TODAY()),"Rappel à faire",""))))</f>
        <v/>
      </c>
    </row>
    <row r="162" customFormat="false" ht="15" hidden="false" customHeight="false" outlineLevel="0" collapsed="false">
      <c r="A162" s="7" t="n">
        <v>161</v>
      </c>
      <c r="B162" s="8"/>
      <c r="C162" s="8"/>
      <c r="D162" s="7"/>
      <c r="E162" s="7"/>
      <c r="F162" s="8"/>
      <c r="G162" s="7"/>
      <c r="H162" s="7"/>
      <c r="I162" s="8"/>
      <c r="J162" s="9"/>
      <c r="K162" s="9"/>
      <c r="L162" s="7"/>
      <c r="M162" s="7"/>
      <c r="N162" s="8"/>
      <c r="O162" s="9"/>
      <c r="P162" s="9"/>
      <c r="Q162" s="9"/>
      <c r="R162" s="9"/>
      <c r="S162" s="8"/>
      <c r="T162" s="9" t="str">
        <f aca="false">IF(J162="","",EDATE(MAX(J162,K162,P162,Q162,R162),36))</f>
        <v/>
      </c>
      <c r="U162" s="9" t="str">
        <f aca="false">IF(OR(L162&lt;&gt;"Email",K162="",P162&lt;&gt;"",M162="Opposition",M162="Pas intéressé",M162="Client",M162="Rendez-vous pris",M162="Numéro erroné"),"",WORKDAY(K162,5))</f>
        <v/>
      </c>
      <c r="V162" s="9" t="str">
        <f aca="false">IF(OR(P162="",Q162&lt;&gt;"",M162="Opposition",M162="Pas intéressé",M162="Client",M162="Rendez-vous pris",M162="Numéro erroné"),"",WORKDAY(P162,7))</f>
        <v/>
      </c>
      <c r="W162" s="7" t="str">
        <f aca="true">IF(M162="Opposition","Ne pas contacter",IF(AND(U162&lt;&gt;"",U162&lt;=TODAY()),"Relance 1 à envoyer",IF(AND(V162&lt;&gt;"",V162&lt;=TODAY()),"Relance 2 à envoyer",IF(AND(O162&lt;&gt;"",O162&lt;=TODAY()),"Rappel à faire",""))))</f>
        <v/>
      </c>
    </row>
    <row r="163" customFormat="false" ht="15" hidden="false" customHeight="false" outlineLevel="0" collapsed="false">
      <c r="A163" s="7" t="n">
        <v>162</v>
      </c>
      <c r="B163" s="8"/>
      <c r="C163" s="8"/>
      <c r="D163" s="7"/>
      <c r="E163" s="7"/>
      <c r="F163" s="8"/>
      <c r="G163" s="7"/>
      <c r="H163" s="7"/>
      <c r="I163" s="8"/>
      <c r="J163" s="9"/>
      <c r="K163" s="9"/>
      <c r="L163" s="7"/>
      <c r="M163" s="7"/>
      <c r="N163" s="8"/>
      <c r="O163" s="9"/>
      <c r="P163" s="9"/>
      <c r="Q163" s="9"/>
      <c r="R163" s="9"/>
      <c r="S163" s="8"/>
      <c r="T163" s="9" t="str">
        <f aca="false">IF(J163="","",EDATE(MAX(J163,K163,P163,Q163,R163),36))</f>
        <v/>
      </c>
      <c r="U163" s="9" t="str">
        <f aca="false">IF(OR(L163&lt;&gt;"Email",K163="",P163&lt;&gt;"",M163="Opposition",M163="Pas intéressé",M163="Client",M163="Rendez-vous pris",M163="Numéro erroné"),"",WORKDAY(K163,5))</f>
        <v/>
      </c>
      <c r="V163" s="9" t="str">
        <f aca="false">IF(OR(P163="",Q163&lt;&gt;"",M163="Opposition",M163="Pas intéressé",M163="Client",M163="Rendez-vous pris",M163="Numéro erroné"),"",WORKDAY(P163,7))</f>
        <v/>
      </c>
      <c r="W163" s="7" t="str">
        <f aca="true">IF(M163="Opposition","Ne pas contacter",IF(AND(U163&lt;&gt;"",U163&lt;=TODAY()),"Relance 1 à envoyer",IF(AND(V163&lt;&gt;"",V163&lt;=TODAY()),"Relance 2 à envoyer",IF(AND(O163&lt;&gt;"",O163&lt;=TODAY()),"Rappel à faire",""))))</f>
        <v/>
      </c>
    </row>
    <row r="164" customFormat="false" ht="15" hidden="false" customHeight="false" outlineLevel="0" collapsed="false">
      <c r="A164" s="7" t="n">
        <v>163</v>
      </c>
      <c r="B164" s="8"/>
      <c r="C164" s="8"/>
      <c r="D164" s="7"/>
      <c r="E164" s="7"/>
      <c r="F164" s="8"/>
      <c r="G164" s="7"/>
      <c r="H164" s="7"/>
      <c r="I164" s="8"/>
      <c r="J164" s="9"/>
      <c r="K164" s="9"/>
      <c r="L164" s="7"/>
      <c r="M164" s="7"/>
      <c r="N164" s="8"/>
      <c r="O164" s="9"/>
      <c r="P164" s="9"/>
      <c r="Q164" s="9"/>
      <c r="R164" s="9"/>
      <c r="S164" s="8"/>
      <c r="T164" s="9" t="str">
        <f aca="false">IF(J164="","",EDATE(MAX(J164,K164,P164,Q164,R164),36))</f>
        <v/>
      </c>
      <c r="U164" s="9" t="str">
        <f aca="false">IF(OR(L164&lt;&gt;"Email",K164="",P164&lt;&gt;"",M164="Opposition",M164="Pas intéressé",M164="Client",M164="Rendez-vous pris",M164="Numéro erroné"),"",WORKDAY(K164,5))</f>
        <v/>
      </c>
      <c r="V164" s="9" t="str">
        <f aca="false">IF(OR(P164="",Q164&lt;&gt;"",M164="Opposition",M164="Pas intéressé",M164="Client",M164="Rendez-vous pris",M164="Numéro erroné"),"",WORKDAY(P164,7))</f>
        <v/>
      </c>
      <c r="W164" s="7" t="str">
        <f aca="true">IF(M164="Opposition","Ne pas contacter",IF(AND(U164&lt;&gt;"",U164&lt;=TODAY()),"Relance 1 à envoyer",IF(AND(V164&lt;&gt;"",V164&lt;=TODAY()),"Relance 2 à envoyer",IF(AND(O164&lt;&gt;"",O164&lt;=TODAY()),"Rappel à faire",""))))</f>
        <v/>
      </c>
    </row>
    <row r="165" customFormat="false" ht="15" hidden="false" customHeight="false" outlineLevel="0" collapsed="false">
      <c r="A165" s="7" t="n">
        <v>164</v>
      </c>
      <c r="B165" s="8"/>
      <c r="C165" s="8"/>
      <c r="D165" s="7"/>
      <c r="E165" s="7"/>
      <c r="F165" s="8"/>
      <c r="G165" s="7"/>
      <c r="H165" s="7"/>
      <c r="I165" s="8"/>
      <c r="J165" s="9"/>
      <c r="K165" s="9"/>
      <c r="L165" s="7"/>
      <c r="M165" s="7"/>
      <c r="N165" s="8"/>
      <c r="O165" s="9"/>
      <c r="P165" s="9"/>
      <c r="Q165" s="9"/>
      <c r="R165" s="9"/>
      <c r="S165" s="8"/>
      <c r="T165" s="9" t="str">
        <f aca="false">IF(J165="","",EDATE(MAX(J165,K165,P165,Q165,R165),36))</f>
        <v/>
      </c>
      <c r="U165" s="9" t="str">
        <f aca="false">IF(OR(L165&lt;&gt;"Email",K165="",P165&lt;&gt;"",M165="Opposition",M165="Pas intéressé",M165="Client",M165="Rendez-vous pris",M165="Numéro erroné"),"",WORKDAY(K165,5))</f>
        <v/>
      </c>
      <c r="V165" s="9" t="str">
        <f aca="false">IF(OR(P165="",Q165&lt;&gt;"",M165="Opposition",M165="Pas intéressé",M165="Client",M165="Rendez-vous pris",M165="Numéro erroné"),"",WORKDAY(P165,7))</f>
        <v/>
      </c>
      <c r="W165" s="7" t="str">
        <f aca="true">IF(M165="Opposition","Ne pas contacter",IF(AND(U165&lt;&gt;"",U165&lt;=TODAY()),"Relance 1 à envoyer",IF(AND(V165&lt;&gt;"",V165&lt;=TODAY()),"Relance 2 à envoyer",IF(AND(O165&lt;&gt;"",O165&lt;=TODAY()),"Rappel à faire",""))))</f>
        <v/>
      </c>
    </row>
    <row r="166" customFormat="false" ht="15" hidden="false" customHeight="false" outlineLevel="0" collapsed="false">
      <c r="A166" s="7" t="n">
        <v>165</v>
      </c>
      <c r="B166" s="8"/>
      <c r="C166" s="8"/>
      <c r="D166" s="7"/>
      <c r="E166" s="7"/>
      <c r="F166" s="8"/>
      <c r="G166" s="7"/>
      <c r="H166" s="7"/>
      <c r="I166" s="8"/>
      <c r="J166" s="9"/>
      <c r="K166" s="9"/>
      <c r="L166" s="7"/>
      <c r="M166" s="7"/>
      <c r="N166" s="8"/>
      <c r="O166" s="9"/>
      <c r="P166" s="9"/>
      <c r="Q166" s="9"/>
      <c r="R166" s="9"/>
      <c r="S166" s="8"/>
      <c r="T166" s="9" t="str">
        <f aca="false">IF(J166="","",EDATE(MAX(J166,K166,P166,Q166,R166),36))</f>
        <v/>
      </c>
      <c r="U166" s="9" t="str">
        <f aca="false">IF(OR(L166&lt;&gt;"Email",K166="",P166&lt;&gt;"",M166="Opposition",M166="Pas intéressé",M166="Client",M166="Rendez-vous pris",M166="Numéro erroné"),"",WORKDAY(K166,5))</f>
        <v/>
      </c>
      <c r="V166" s="9" t="str">
        <f aca="false">IF(OR(P166="",Q166&lt;&gt;"",M166="Opposition",M166="Pas intéressé",M166="Client",M166="Rendez-vous pris",M166="Numéro erroné"),"",WORKDAY(P166,7))</f>
        <v/>
      </c>
      <c r="W166" s="7" t="str">
        <f aca="true">IF(M166="Opposition","Ne pas contacter",IF(AND(U166&lt;&gt;"",U166&lt;=TODAY()),"Relance 1 à envoyer",IF(AND(V166&lt;&gt;"",V166&lt;=TODAY()),"Relance 2 à envoyer",IF(AND(O166&lt;&gt;"",O166&lt;=TODAY()),"Rappel à faire",""))))</f>
        <v/>
      </c>
    </row>
    <row r="167" customFormat="false" ht="15" hidden="false" customHeight="false" outlineLevel="0" collapsed="false">
      <c r="A167" s="7" t="n">
        <v>166</v>
      </c>
      <c r="B167" s="8"/>
      <c r="C167" s="8"/>
      <c r="D167" s="7"/>
      <c r="E167" s="7"/>
      <c r="F167" s="8"/>
      <c r="G167" s="7"/>
      <c r="H167" s="7"/>
      <c r="I167" s="8"/>
      <c r="J167" s="9"/>
      <c r="K167" s="9"/>
      <c r="L167" s="7"/>
      <c r="M167" s="7"/>
      <c r="N167" s="8"/>
      <c r="O167" s="9"/>
      <c r="P167" s="9"/>
      <c r="Q167" s="9"/>
      <c r="R167" s="9"/>
      <c r="S167" s="8"/>
      <c r="T167" s="9" t="str">
        <f aca="false">IF(J167="","",EDATE(MAX(J167,K167,P167,Q167,R167),36))</f>
        <v/>
      </c>
      <c r="U167" s="9" t="str">
        <f aca="false">IF(OR(L167&lt;&gt;"Email",K167="",P167&lt;&gt;"",M167="Opposition",M167="Pas intéressé",M167="Client",M167="Rendez-vous pris",M167="Numéro erroné"),"",WORKDAY(K167,5))</f>
        <v/>
      </c>
      <c r="V167" s="9" t="str">
        <f aca="false">IF(OR(P167="",Q167&lt;&gt;"",M167="Opposition",M167="Pas intéressé",M167="Client",M167="Rendez-vous pris",M167="Numéro erroné"),"",WORKDAY(P167,7))</f>
        <v/>
      </c>
      <c r="W167" s="7" t="str">
        <f aca="true">IF(M167="Opposition","Ne pas contacter",IF(AND(U167&lt;&gt;"",U167&lt;=TODAY()),"Relance 1 à envoyer",IF(AND(V167&lt;&gt;"",V167&lt;=TODAY()),"Relance 2 à envoyer",IF(AND(O167&lt;&gt;"",O167&lt;=TODAY()),"Rappel à faire",""))))</f>
        <v/>
      </c>
    </row>
    <row r="168" customFormat="false" ht="15" hidden="false" customHeight="false" outlineLevel="0" collapsed="false">
      <c r="A168" s="7" t="n">
        <v>167</v>
      </c>
      <c r="B168" s="8"/>
      <c r="C168" s="8"/>
      <c r="D168" s="7"/>
      <c r="E168" s="7"/>
      <c r="F168" s="8"/>
      <c r="G168" s="7"/>
      <c r="H168" s="7"/>
      <c r="I168" s="8"/>
      <c r="J168" s="9"/>
      <c r="K168" s="9"/>
      <c r="L168" s="7"/>
      <c r="M168" s="7"/>
      <c r="N168" s="8"/>
      <c r="O168" s="9"/>
      <c r="P168" s="9"/>
      <c r="Q168" s="9"/>
      <c r="R168" s="9"/>
      <c r="S168" s="8"/>
      <c r="T168" s="9" t="str">
        <f aca="false">IF(J168="","",EDATE(MAX(J168,K168,P168,Q168,R168),36))</f>
        <v/>
      </c>
      <c r="U168" s="9" t="str">
        <f aca="false">IF(OR(L168&lt;&gt;"Email",K168="",P168&lt;&gt;"",M168="Opposition",M168="Pas intéressé",M168="Client",M168="Rendez-vous pris",M168="Numéro erroné"),"",WORKDAY(K168,5))</f>
        <v/>
      </c>
      <c r="V168" s="9" t="str">
        <f aca="false">IF(OR(P168="",Q168&lt;&gt;"",M168="Opposition",M168="Pas intéressé",M168="Client",M168="Rendez-vous pris",M168="Numéro erroné"),"",WORKDAY(P168,7))</f>
        <v/>
      </c>
      <c r="W168" s="7" t="str">
        <f aca="true">IF(M168="Opposition","Ne pas contacter",IF(AND(U168&lt;&gt;"",U168&lt;=TODAY()),"Relance 1 à envoyer",IF(AND(V168&lt;&gt;"",V168&lt;=TODAY()),"Relance 2 à envoyer",IF(AND(O168&lt;&gt;"",O168&lt;=TODAY()),"Rappel à faire",""))))</f>
        <v/>
      </c>
    </row>
    <row r="169" customFormat="false" ht="15" hidden="false" customHeight="false" outlineLevel="0" collapsed="false">
      <c r="A169" s="7" t="n">
        <v>168</v>
      </c>
      <c r="B169" s="8"/>
      <c r="C169" s="8"/>
      <c r="D169" s="7"/>
      <c r="E169" s="7"/>
      <c r="F169" s="8"/>
      <c r="G169" s="7"/>
      <c r="H169" s="7"/>
      <c r="I169" s="8"/>
      <c r="J169" s="9"/>
      <c r="K169" s="9"/>
      <c r="L169" s="7"/>
      <c r="M169" s="7"/>
      <c r="N169" s="8"/>
      <c r="O169" s="9"/>
      <c r="P169" s="9"/>
      <c r="Q169" s="9"/>
      <c r="R169" s="9"/>
      <c r="S169" s="8"/>
      <c r="T169" s="9" t="str">
        <f aca="false">IF(J169="","",EDATE(MAX(J169,K169,P169,Q169,R169),36))</f>
        <v/>
      </c>
      <c r="U169" s="9" t="str">
        <f aca="false">IF(OR(L169&lt;&gt;"Email",K169="",P169&lt;&gt;"",M169="Opposition",M169="Pas intéressé",M169="Client",M169="Rendez-vous pris",M169="Numéro erroné"),"",WORKDAY(K169,5))</f>
        <v/>
      </c>
      <c r="V169" s="9" t="str">
        <f aca="false">IF(OR(P169="",Q169&lt;&gt;"",M169="Opposition",M169="Pas intéressé",M169="Client",M169="Rendez-vous pris",M169="Numéro erroné"),"",WORKDAY(P169,7))</f>
        <v/>
      </c>
      <c r="W169" s="7" t="str">
        <f aca="true">IF(M169="Opposition","Ne pas contacter",IF(AND(U169&lt;&gt;"",U169&lt;=TODAY()),"Relance 1 à envoyer",IF(AND(V169&lt;&gt;"",V169&lt;=TODAY()),"Relance 2 à envoyer",IF(AND(O169&lt;&gt;"",O169&lt;=TODAY()),"Rappel à faire",""))))</f>
        <v/>
      </c>
    </row>
    <row r="170" customFormat="false" ht="15" hidden="false" customHeight="false" outlineLevel="0" collapsed="false">
      <c r="A170" s="7" t="n">
        <v>169</v>
      </c>
      <c r="B170" s="8"/>
      <c r="C170" s="8"/>
      <c r="D170" s="7"/>
      <c r="E170" s="7"/>
      <c r="F170" s="8"/>
      <c r="G170" s="7"/>
      <c r="H170" s="7"/>
      <c r="I170" s="8"/>
      <c r="J170" s="9"/>
      <c r="K170" s="9"/>
      <c r="L170" s="7"/>
      <c r="M170" s="7"/>
      <c r="N170" s="8"/>
      <c r="O170" s="9"/>
      <c r="P170" s="9"/>
      <c r="Q170" s="9"/>
      <c r="R170" s="9"/>
      <c r="S170" s="8"/>
      <c r="T170" s="9" t="str">
        <f aca="false">IF(J170="","",EDATE(MAX(J170,K170,P170,Q170,R170),36))</f>
        <v/>
      </c>
      <c r="U170" s="9" t="str">
        <f aca="false">IF(OR(L170&lt;&gt;"Email",K170="",P170&lt;&gt;"",M170="Opposition",M170="Pas intéressé",M170="Client",M170="Rendez-vous pris",M170="Numéro erroné"),"",WORKDAY(K170,5))</f>
        <v/>
      </c>
      <c r="V170" s="9" t="str">
        <f aca="false">IF(OR(P170="",Q170&lt;&gt;"",M170="Opposition",M170="Pas intéressé",M170="Client",M170="Rendez-vous pris",M170="Numéro erroné"),"",WORKDAY(P170,7))</f>
        <v/>
      </c>
      <c r="W170" s="7" t="str">
        <f aca="true">IF(M170="Opposition","Ne pas contacter",IF(AND(U170&lt;&gt;"",U170&lt;=TODAY()),"Relance 1 à envoyer",IF(AND(V170&lt;&gt;"",V170&lt;=TODAY()),"Relance 2 à envoyer",IF(AND(O170&lt;&gt;"",O170&lt;=TODAY()),"Rappel à faire",""))))</f>
        <v/>
      </c>
    </row>
    <row r="171" customFormat="false" ht="15" hidden="false" customHeight="false" outlineLevel="0" collapsed="false">
      <c r="A171" s="7" t="n">
        <v>170</v>
      </c>
      <c r="B171" s="8"/>
      <c r="C171" s="8"/>
      <c r="D171" s="7"/>
      <c r="E171" s="7"/>
      <c r="F171" s="8"/>
      <c r="G171" s="7"/>
      <c r="H171" s="7"/>
      <c r="I171" s="8"/>
      <c r="J171" s="9"/>
      <c r="K171" s="9"/>
      <c r="L171" s="7"/>
      <c r="M171" s="7"/>
      <c r="N171" s="8"/>
      <c r="O171" s="9"/>
      <c r="P171" s="9"/>
      <c r="Q171" s="9"/>
      <c r="R171" s="9"/>
      <c r="S171" s="8"/>
      <c r="T171" s="9" t="str">
        <f aca="false">IF(J171="","",EDATE(MAX(J171,K171,P171,Q171,R171),36))</f>
        <v/>
      </c>
      <c r="U171" s="9" t="str">
        <f aca="false">IF(OR(L171&lt;&gt;"Email",K171="",P171&lt;&gt;"",M171="Opposition",M171="Pas intéressé",M171="Client",M171="Rendez-vous pris",M171="Numéro erroné"),"",WORKDAY(K171,5))</f>
        <v/>
      </c>
      <c r="V171" s="9" t="str">
        <f aca="false">IF(OR(P171="",Q171&lt;&gt;"",M171="Opposition",M171="Pas intéressé",M171="Client",M171="Rendez-vous pris",M171="Numéro erroné"),"",WORKDAY(P171,7))</f>
        <v/>
      </c>
      <c r="W171" s="7" t="str">
        <f aca="true">IF(M171="Opposition","Ne pas contacter",IF(AND(U171&lt;&gt;"",U171&lt;=TODAY()),"Relance 1 à envoyer",IF(AND(V171&lt;&gt;"",V171&lt;=TODAY()),"Relance 2 à envoyer",IF(AND(O171&lt;&gt;"",O171&lt;=TODAY()),"Rappel à faire",""))))</f>
        <v/>
      </c>
    </row>
    <row r="172" customFormat="false" ht="15" hidden="false" customHeight="false" outlineLevel="0" collapsed="false">
      <c r="A172" s="7" t="n">
        <v>171</v>
      </c>
      <c r="B172" s="8"/>
      <c r="C172" s="8"/>
      <c r="D172" s="7"/>
      <c r="E172" s="7"/>
      <c r="F172" s="8"/>
      <c r="G172" s="7"/>
      <c r="H172" s="7"/>
      <c r="I172" s="8"/>
      <c r="J172" s="9"/>
      <c r="K172" s="9"/>
      <c r="L172" s="7"/>
      <c r="M172" s="7"/>
      <c r="N172" s="8"/>
      <c r="O172" s="9"/>
      <c r="P172" s="9"/>
      <c r="Q172" s="9"/>
      <c r="R172" s="9"/>
      <c r="S172" s="8"/>
      <c r="T172" s="9" t="str">
        <f aca="false">IF(J172="","",EDATE(MAX(J172,K172,P172,Q172,R172),36))</f>
        <v/>
      </c>
      <c r="U172" s="9" t="str">
        <f aca="false">IF(OR(L172&lt;&gt;"Email",K172="",P172&lt;&gt;"",M172="Opposition",M172="Pas intéressé",M172="Client",M172="Rendez-vous pris",M172="Numéro erroné"),"",WORKDAY(K172,5))</f>
        <v/>
      </c>
      <c r="V172" s="9" t="str">
        <f aca="false">IF(OR(P172="",Q172&lt;&gt;"",M172="Opposition",M172="Pas intéressé",M172="Client",M172="Rendez-vous pris",M172="Numéro erroné"),"",WORKDAY(P172,7))</f>
        <v/>
      </c>
      <c r="W172" s="7" t="str">
        <f aca="true">IF(M172="Opposition","Ne pas contacter",IF(AND(U172&lt;&gt;"",U172&lt;=TODAY()),"Relance 1 à envoyer",IF(AND(V172&lt;&gt;"",V172&lt;=TODAY()),"Relance 2 à envoyer",IF(AND(O172&lt;&gt;"",O172&lt;=TODAY()),"Rappel à faire",""))))</f>
        <v/>
      </c>
    </row>
    <row r="173" customFormat="false" ht="15" hidden="false" customHeight="false" outlineLevel="0" collapsed="false">
      <c r="A173" s="7" t="n">
        <v>172</v>
      </c>
      <c r="B173" s="8"/>
      <c r="C173" s="8"/>
      <c r="D173" s="7"/>
      <c r="E173" s="7"/>
      <c r="F173" s="8"/>
      <c r="G173" s="7"/>
      <c r="H173" s="7"/>
      <c r="I173" s="8"/>
      <c r="J173" s="9"/>
      <c r="K173" s="9"/>
      <c r="L173" s="7"/>
      <c r="M173" s="7"/>
      <c r="N173" s="8"/>
      <c r="O173" s="9"/>
      <c r="P173" s="9"/>
      <c r="Q173" s="9"/>
      <c r="R173" s="9"/>
      <c r="S173" s="8"/>
      <c r="T173" s="9" t="str">
        <f aca="false">IF(J173="","",EDATE(MAX(J173,K173,P173,Q173,R173),36))</f>
        <v/>
      </c>
      <c r="U173" s="9" t="str">
        <f aca="false">IF(OR(L173&lt;&gt;"Email",K173="",P173&lt;&gt;"",M173="Opposition",M173="Pas intéressé",M173="Client",M173="Rendez-vous pris",M173="Numéro erroné"),"",WORKDAY(K173,5))</f>
        <v/>
      </c>
      <c r="V173" s="9" t="str">
        <f aca="false">IF(OR(P173="",Q173&lt;&gt;"",M173="Opposition",M173="Pas intéressé",M173="Client",M173="Rendez-vous pris",M173="Numéro erroné"),"",WORKDAY(P173,7))</f>
        <v/>
      </c>
      <c r="W173" s="7" t="str">
        <f aca="true">IF(M173="Opposition","Ne pas contacter",IF(AND(U173&lt;&gt;"",U173&lt;=TODAY()),"Relance 1 à envoyer",IF(AND(V173&lt;&gt;"",V173&lt;=TODAY()),"Relance 2 à envoyer",IF(AND(O173&lt;&gt;"",O173&lt;=TODAY()),"Rappel à faire",""))))</f>
        <v/>
      </c>
    </row>
    <row r="174" customFormat="false" ht="15" hidden="false" customHeight="false" outlineLevel="0" collapsed="false">
      <c r="A174" s="7" t="n">
        <v>173</v>
      </c>
      <c r="B174" s="8"/>
      <c r="C174" s="8"/>
      <c r="D174" s="7"/>
      <c r="E174" s="7"/>
      <c r="F174" s="8"/>
      <c r="G174" s="7"/>
      <c r="H174" s="7"/>
      <c r="I174" s="8"/>
      <c r="J174" s="9"/>
      <c r="K174" s="9"/>
      <c r="L174" s="7"/>
      <c r="M174" s="7"/>
      <c r="N174" s="8"/>
      <c r="O174" s="9"/>
      <c r="P174" s="9"/>
      <c r="Q174" s="9"/>
      <c r="R174" s="9"/>
      <c r="S174" s="8"/>
      <c r="T174" s="9" t="str">
        <f aca="false">IF(J174="","",EDATE(MAX(J174,K174,P174,Q174,R174),36))</f>
        <v/>
      </c>
      <c r="U174" s="9" t="str">
        <f aca="false">IF(OR(L174&lt;&gt;"Email",K174="",P174&lt;&gt;"",M174="Opposition",M174="Pas intéressé",M174="Client",M174="Rendez-vous pris",M174="Numéro erroné"),"",WORKDAY(K174,5))</f>
        <v/>
      </c>
      <c r="V174" s="9" t="str">
        <f aca="false">IF(OR(P174="",Q174&lt;&gt;"",M174="Opposition",M174="Pas intéressé",M174="Client",M174="Rendez-vous pris",M174="Numéro erroné"),"",WORKDAY(P174,7))</f>
        <v/>
      </c>
      <c r="W174" s="7" t="str">
        <f aca="true">IF(M174="Opposition","Ne pas contacter",IF(AND(U174&lt;&gt;"",U174&lt;=TODAY()),"Relance 1 à envoyer",IF(AND(V174&lt;&gt;"",V174&lt;=TODAY()),"Relance 2 à envoyer",IF(AND(O174&lt;&gt;"",O174&lt;=TODAY()),"Rappel à faire",""))))</f>
        <v/>
      </c>
    </row>
    <row r="175" customFormat="false" ht="15" hidden="false" customHeight="false" outlineLevel="0" collapsed="false">
      <c r="A175" s="7" t="n">
        <v>174</v>
      </c>
      <c r="B175" s="8"/>
      <c r="C175" s="8"/>
      <c r="D175" s="7"/>
      <c r="E175" s="7"/>
      <c r="F175" s="8"/>
      <c r="G175" s="7"/>
      <c r="H175" s="7"/>
      <c r="I175" s="8"/>
      <c r="J175" s="9"/>
      <c r="K175" s="9"/>
      <c r="L175" s="7"/>
      <c r="M175" s="7"/>
      <c r="N175" s="8"/>
      <c r="O175" s="9"/>
      <c r="P175" s="9"/>
      <c r="Q175" s="9"/>
      <c r="R175" s="9"/>
      <c r="S175" s="8"/>
      <c r="T175" s="9" t="str">
        <f aca="false">IF(J175="","",EDATE(MAX(J175,K175,P175,Q175,R175),36))</f>
        <v/>
      </c>
      <c r="U175" s="9" t="str">
        <f aca="false">IF(OR(L175&lt;&gt;"Email",K175="",P175&lt;&gt;"",M175="Opposition",M175="Pas intéressé",M175="Client",M175="Rendez-vous pris",M175="Numéro erroné"),"",WORKDAY(K175,5))</f>
        <v/>
      </c>
      <c r="V175" s="9" t="str">
        <f aca="false">IF(OR(P175="",Q175&lt;&gt;"",M175="Opposition",M175="Pas intéressé",M175="Client",M175="Rendez-vous pris",M175="Numéro erroné"),"",WORKDAY(P175,7))</f>
        <v/>
      </c>
      <c r="W175" s="7" t="str">
        <f aca="true">IF(M175="Opposition","Ne pas contacter",IF(AND(U175&lt;&gt;"",U175&lt;=TODAY()),"Relance 1 à envoyer",IF(AND(V175&lt;&gt;"",V175&lt;=TODAY()),"Relance 2 à envoyer",IF(AND(O175&lt;&gt;"",O175&lt;=TODAY()),"Rappel à faire",""))))</f>
        <v/>
      </c>
    </row>
    <row r="176" customFormat="false" ht="15" hidden="false" customHeight="false" outlineLevel="0" collapsed="false">
      <c r="A176" s="7" t="n">
        <v>175</v>
      </c>
      <c r="B176" s="8"/>
      <c r="C176" s="8"/>
      <c r="D176" s="7"/>
      <c r="E176" s="7"/>
      <c r="F176" s="8"/>
      <c r="G176" s="7"/>
      <c r="H176" s="7"/>
      <c r="I176" s="8"/>
      <c r="J176" s="9"/>
      <c r="K176" s="9"/>
      <c r="L176" s="7"/>
      <c r="M176" s="7"/>
      <c r="N176" s="8"/>
      <c r="O176" s="9"/>
      <c r="P176" s="9"/>
      <c r="Q176" s="9"/>
      <c r="R176" s="9"/>
      <c r="S176" s="8"/>
      <c r="T176" s="9" t="str">
        <f aca="false">IF(J176="","",EDATE(MAX(J176,K176,P176,Q176,R176),36))</f>
        <v/>
      </c>
      <c r="U176" s="9" t="str">
        <f aca="false">IF(OR(L176&lt;&gt;"Email",K176="",P176&lt;&gt;"",M176="Opposition",M176="Pas intéressé",M176="Client",M176="Rendez-vous pris",M176="Numéro erroné"),"",WORKDAY(K176,5))</f>
        <v/>
      </c>
      <c r="V176" s="9" t="str">
        <f aca="false">IF(OR(P176="",Q176&lt;&gt;"",M176="Opposition",M176="Pas intéressé",M176="Client",M176="Rendez-vous pris",M176="Numéro erroné"),"",WORKDAY(P176,7))</f>
        <v/>
      </c>
      <c r="W176" s="7" t="str">
        <f aca="true">IF(M176="Opposition","Ne pas contacter",IF(AND(U176&lt;&gt;"",U176&lt;=TODAY()),"Relance 1 à envoyer",IF(AND(V176&lt;&gt;"",V176&lt;=TODAY()),"Relance 2 à envoyer",IF(AND(O176&lt;&gt;"",O176&lt;=TODAY()),"Rappel à faire",""))))</f>
        <v/>
      </c>
    </row>
    <row r="177" customFormat="false" ht="15" hidden="false" customHeight="false" outlineLevel="0" collapsed="false">
      <c r="A177" s="7" t="n">
        <v>176</v>
      </c>
      <c r="B177" s="8"/>
      <c r="C177" s="8"/>
      <c r="D177" s="7"/>
      <c r="E177" s="7"/>
      <c r="F177" s="8"/>
      <c r="G177" s="7"/>
      <c r="H177" s="7"/>
      <c r="I177" s="8"/>
      <c r="J177" s="9"/>
      <c r="K177" s="9"/>
      <c r="L177" s="7"/>
      <c r="M177" s="7"/>
      <c r="N177" s="8"/>
      <c r="O177" s="9"/>
      <c r="P177" s="9"/>
      <c r="Q177" s="9"/>
      <c r="R177" s="9"/>
      <c r="S177" s="8"/>
      <c r="T177" s="9" t="str">
        <f aca="false">IF(J177="","",EDATE(MAX(J177,K177,P177,Q177,R177),36))</f>
        <v/>
      </c>
      <c r="U177" s="9" t="str">
        <f aca="false">IF(OR(L177&lt;&gt;"Email",K177="",P177&lt;&gt;"",M177="Opposition",M177="Pas intéressé",M177="Client",M177="Rendez-vous pris",M177="Numéro erroné"),"",WORKDAY(K177,5))</f>
        <v/>
      </c>
      <c r="V177" s="9" t="str">
        <f aca="false">IF(OR(P177="",Q177&lt;&gt;"",M177="Opposition",M177="Pas intéressé",M177="Client",M177="Rendez-vous pris",M177="Numéro erroné"),"",WORKDAY(P177,7))</f>
        <v/>
      </c>
      <c r="W177" s="7" t="str">
        <f aca="true">IF(M177="Opposition","Ne pas contacter",IF(AND(U177&lt;&gt;"",U177&lt;=TODAY()),"Relance 1 à envoyer",IF(AND(V177&lt;&gt;"",V177&lt;=TODAY()),"Relance 2 à envoyer",IF(AND(O177&lt;&gt;"",O177&lt;=TODAY()),"Rappel à faire",""))))</f>
        <v/>
      </c>
    </row>
    <row r="178" customFormat="false" ht="15" hidden="false" customHeight="false" outlineLevel="0" collapsed="false">
      <c r="A178" s="7" t="n">
        <v>177</v>
      </c>
      <c r="B178" s="8"/>
      <c r="C178" s="8"/>
      <c r="D178" s="7"/>
      <c r="E178" s="7"/>
      <c r="F178" s="8"/>
      <c r="G178" s="7"/>
      <c r="H178" s="7"/>
      <c r="I178" s="8"/>
      <c r="J178" s="9"/>
      <c r="K178" s="9"/>
      <c r="L178" s="7"/>
      <c r="M178" s="7"/>
      <c r="N178" s="8"/>
      <c r="O178" s="9"/>
      <c r="P178" s="9"/>
      <c r="Q178" s="9"/>
      <c r="R178" s="9"/>
      <c r="S178" s="8"/>
      <c r="T178" s="9" t="str">
        <f aca="false">IF(J178="","",EDATE(MAX(J178,K178,P178,Q178,R178),36))</f>
        <v/>
      </c>
      <c r="U178" s="9" t="str">
        <f aca="false">IF(OR(L178&lt;&gt;"Email",K178="",P178&lt;&gt;"",M178="Opposition",M178="Pas intéressé",M178="Client",M178="Rendez-vous pris",M178="Numéro erroné"),"",WORKDAY(K178,5))</f>
        <v/>
      </c>
      <c r="V178" s="9" t="str">
        <f aca="false">IF(OR(P178="",Q178&lt;&gt;"",M178="Opposition",M178="Pas intéressé",M178="Client",M178="Rendez-vous pris",M178="Numéro erroné"),"",WORKDAY(P178,7))</f>
        <v/>
      </c>
      <c r="W178" s="7" t="str">
        <f aca="true">IF(M178="Opposition","Ne pas contacter",IF(AND(U178&lt;&gt;"",U178&lt;=TODAY()),"Relance 1 à envoyer",IF(AND(V178&lt;&gt;"",V178&lt;=TODAY()),"Relance 2 à envoyer",IF(AND(O178&lt;&gt;"",O178&lt;=TODAY()),"Rappel à faire",""))))</f>
        <v/>
      </c>
    </row>
    <row r="179" customFormat="false" ht="15" hidden="false" customHeight="false" outlineLevel="0" collapsed="false">
      <c r="A179" s="7" t="n">
        <v>178</v>
      </c>
      <c r="B179" s="8"/>
      <c r="C179" s="8"/>
      <c r="D179" s="7"/>
      <c r="E179" s="7"/>
      <c r="F179" s="8"/>
      <c r="G179" s="7"/>
      <c r="H179" s="7"/>
      <c r="I179" s="8"/>
      <c r="J179" s="9"/>
      <c r="K179" s="9"/>
      <c r="L179" s="7"/>
      <c r="M179" s="7"/>
      <c r="N179" s="8"/>
      <c r="O179" s="9"/>
      <c r="P179" s="9"/>
      <c r="Q179" s="9"/>
      <c r="R179" s="9"/>
      <c r="S179" s="8"/>
      <c r="T179" s="9" t="str">
        <f aca="false">IF(J179="","",EDATE(MAX(J179,K179,P179,Q179,R179),36))</f>
        <v/>
      </c>
      <c r="U179" s="9" t="str">
        <f aca="false">IF(OR(L179&lt;&gt;"Email",K179="",P179&lt;&gt;"",M179="Opposition",M179="Pas intéressé",M179="Client",M179="Rendez-vous pris",M179="Numéro erroné"),"",WORKDAY(K179,5))</f>
        <v/>
      </c>
      <c r="V179" s="9" t="str">
        <f aca="false">IF(OR(P179="",Q179&lt;&gt;"",M179="Opposition",M179="Pas intéressé",M179="Client",M179="Rendez-vous pris",M179="Numéro erroné"),"",WORKDAY(P179,7))</f>
        <v/>
      </c>
      <c r="W179" s="7" t="str">
        <f aca="true">IF(M179="Opposition","Ne pas contacter",IF(AND(U179&lt;&gt;"",U179&lt;=TODAY()),"Relance 1 à envoyer",IF(AND(V179&lt;&gt;"",V179&lt;=TODAY()),"Relance 2 à envoyer",IF(AND(O179&lt;&gt;"",O179&lt;=TODAY()),"Rappel à faire",""))))</f>
        <v/>
      </c>
    </row>
    <row r="180" customFormat="false" ht="15" hidden="false" customHeight="false" outlineLevel="0" collapsed="false">
      <c r="A180" s="7" t="n">
        <v>179</v>
      </c>
      <c r="B180" s="8"/>
      <c r="C180" s="8"/>
      <c r="D180" s="7"/>
      <c r="E180" s="7"/>
      <c r="F180" s="8"/>
      <c r="G180" s="7"/>
      <c r="H180" s="7"/>
      <c r="I180" s="8"/>
      <c r="J180" s="9"/>
      <c r="K180" s="9"/>
      <c r="L180" s="7"/>
      <c r="M180" s="7"/>
      <c r="N180" s="8"/>
      <c r="O180" s="9"/>
      <c r="P180" s="9"/>
      <c r="Q180" s="9"/>
      <c r="R180" s="9"/>
      <c r="S180" s="8"/>
      <c r="T180" s="9" t="str">
        <f aca="false">IF(J180="","",EDATE(MAX(J180,K180,P180,Q180,R180),36))</f>
        <v/>
      </c>
      <c r="U180" s="9" t="str">
        <f aca="false">IF(OR(L180&lt;&gt;"Email",K180="",P180&lt;&gt;"",M180="Opposition",M180="Pas intéressé",M180="Client",M180="Rendez-vous pris",M180="Numéro erroné"),"",WORKDAY(K180,5))</f>
        <v/>
      </c>
      <c r="V180" s="9" t="str">
        <f aca="false">IF(OR(P180="",Q180&lt;&gt;"",M180="Opposition",M180="Pas intéressé",M180="Client",M180="Rendez-vous pris",M180="Numéro erroné"),"",WORKDAY(P180,7))</f>
        <v/>
      </c>
      <c r="W180" s="7" t="str">
        <f aca="true">IF(M180="Opposition","Ne pas contacter",IF(AND(U180&lt;&gt;"",U180&lt;=TODAY()),"Relance 1 à envoyer",IF(AND(V180&lt;&gt;"",V180&lt;=TODAY()),"Relance 2 à envoyer",IF(AND(O180&lt;&gt;"",O180&lt;=TODAY()),"Rappel à faire",""))))</f>
        <v/>
      </c>
    </row>
    <row r="181" customFormat="false" ht="15" hidden="false" customHeight="false" outlineLevel="0" collapsed="false">
      <c r="A181" s="7" t="n">
        <v>180</v>
      </c>
      <c r="B181" s="8"/>
      <c r="C181" s="8"/>
      <c r="D181" s="7"/>
      <c r="E181" s="7"/>
      <c r="F181" s="8"/>
      <c r="G181" s="7"/>
      <c r="H181" s="7"/>
      <c r="I181" s="8"/>
      <c r="J181" s="9"/>
      <c r="K181" s="9"/>
      <c r="L181" s="7"/>
      <c r="M181" s="7"/>
      <c r="N181" s="8"/>
      <c r="O181" s="9"/>
      <c r="P181" s="9"/>
      <c r="Q181" s="9"/>
      <c r="R181" s="9"/>
      <c r="S181" s="8"/>
      <c r="T181" s="9" t="str">
        <f aca="false">IF(J181="","",EDATE(MAX(J181,K181,P181,Q181,R181),36))</f>
        <v/>
      </c>
      <c r="U181" s="9" t="str">
        <f aca="false">IF(OR(L181&lt;&gt;"Email",K181="",P181&lt;&gt;"",M181="Opposition",M181="Pas intéressé",M181="Client",M181="Rendez-vous pris",M181="Numéro erroné"),"",WORKDAY(K181,5))</f>
        <v/>
      </c>
      <c r="V181" s="9" t="str">
        <f aca="false">IF(OR(P181="",Q181&lt;&gt;"",M181="Opposition",M181="Pas intéressé",M181="Client",M181="Rendez-vous pris",M181="Numéro erroné"),"",WORKDAY(P181,7))</f>
        <v/>
      </c>
      <c r="W181" s="7" t="str">
        <f aca="true">IF(M181="Opposition","Ne pas contacter",IF(AND(U181&lt;&gt;"",U181&lt;=TODAY()),"Relance 1 à envoyer",IF(AND(V181&lt;&gt;"",V181&lt;=TODAY()),"Relance 2 à envoyer",IF(AND(O181&lt;&gt;"",O181&lt;=TODAY()),"Rappel à faire",""))))</f>
        <v/>
      </c>
    </row>
    <row r="182" customFormat="false" ht="15" hidden="false" customHeight="false" outlineLevel="0" collapsed="false">
      <c r="A182" s="7" t="n">
        <v>181</v>
      </c>
      <c r="B182" s="8"/>
      <c r="C182" s="8"/>
      <c r="D182" s="7"/>
      <c r="E182" s="7"/>
      <c r="F182" s="8"/>
      <c r="G182" s="7"/>
      <c r="H182" s="7"/>
      <c r="I182" s="8"/>
      <c r="J182" s="9"/>
      <c r="K182" s="9"/>
      <c r="L182" s="7"/>
      <c r="M182" s="7"/>
      <c r="N182" s="8"/>
      <c r="O182" s="9"/>
      <c r="P182" s="9"/>
      <c r="Q182" s="9"/>
      <c r="R182" s="9"/>
      <c r="S182" s="8"/>
      <c r="T182" s="9" t="str">
        <f aca="false">IF(J182="","",EDATE(MAX(J182,K182,P182,Q182,R182),36))</f>
        <v/>
      </c>
      <c r="U182" s="9" t="str">
        <f aca="false">IF(OR(L182&lt;&gt;"Email",K182="",P182&lt;&gt;"",M182="Opposition",M182="Pas intéressé",M182="Client",M182="Rendez-vous pris",M182="Numéro erroné"),"",WORKDAY(K182,5))</f>
        <v/>
      </c>
      <c r="V182" s="9" t="str">
        <f aca="false">IF(OR(P182="",Q182&lt;&gt;"",M182="Opposition",M182="Pas intéressé",M182="Client",M182="Rendez-vous pris",M182="Numéro erroné"),"",WORKDAY(P182,7))</f>
        <v/>
      </c>
      <c r="W182" s="7" t="str">
        <f aca="true">IF(M182="Opposition","Ne pas contacter",IF(AND(U182&lt;&gt;"",U182&lt;=TODAY()),"Relance 1 à envoyer",IF(AND(V182&lt;&gt;"",V182&lt;=TODAY()),"Relance 2 à envoyer",IF(AND(O182&lt;&gt;"",O182&lt;=TODAY()),"Rappel à faire",""))))</f>
        <v/>
      </c>
    </row>
    <row r="183" customFormat="false" ht="15" hidden="false" customHeight="false" outlineLevel="0" collapsed="false">
      <c r="A183" s="7" t="n">
        <v>182</v>
      </c>
      <c r="B183" s="8"/>
      <c r="C183" s="8"/>
      <c r="D183" s="7"/>
      <c r="E183" s="7"/>
      <c r="F183" s="8"/>
      <c r="G183" s="7"/>
      <c r="H183" s="7"/>
      <c r="I183" s="8"/>
      <c r="J183" s="9"/>
      <c r="K183" s="9"/>
      <c r="L183" s="7"/>
      <c r="M183" s="7"/>
      <c r="N183" s="8"/>
      <c r="O183" s="9"/>
      <c r="P183" s="9"/>
      <c r="Q183" s="9"/>
      <c r="R183" s="9"/>
      <c r="S183" s="8"/>
      <c r="T183" s="9" t="str">
        <f aca="false">IF(J183="","",EDATE(MAX(J183,K183,P183,Q183,R183),36))</f>
        <v/>
      </c>
      <c r="U183" s="9" t="str">
        <f aca="false">IF(OR(L183&lt;&gt;"Email",K183="",P183&lt;&gt;"",M183="Opposition",M183="Pas intéressé",M183="Client",M183="Rendez-vous pris",M183="Numéro erroné"),"",WORKDAY(K183,5))</f>
        <v/>
      </c>
      <c r="V183" s="9" t="str">
        <f aca="false">IF(OR(P183="",Q183&lt;&gt;"",M183="Opposition",M183="Pas intéressé",M183="Client",M183="Rendez-vous pris",M183="Numéro erroné"),"",WORKDAY(P183,7))</f>
        <v/>
      </c>
      <c r="W183" s="7" t="str">
        <f aca="true">IF(M183="Opposition","Ne pas contacter",IF(AND(U183&lt;&gt;"",U183&lt;=TODAY()),"Relance 1 à envoyer",IF(AND(V183&lt;&gt;"",V183&lt;=TODAY()),"Relance 2 à envoyer",IF(AND(O183&lt;&gt;"",O183&lt;=TODAY()),"Rappel à faire",""))))</f>
        <v/>
      </c>
    </row>
    <row r="184" customFormat="false" ht="15" hidden="false" customHeight="false" outlineLevel="0" collapsed="false">
      <c r="A184" s="7" t="n">
        <v>183</v>
      </c>
      <c r="B184" s="8"/>
      <c r="C184" s="8"/>
      <c r="D184" s="7"/>
      <c r="E184" s="7"/>
      <c r="F184" s="8"/>
      <c r="G184" s="7"/>
      <c r="H184" s="7"/>
      <c r="I184" s="8"/>
      <c r="J184" s="9"/>
      <c r="K184" s="9"/>
      <c r="L184" s="7"/>
      <c r="M184" s="7"/>
      <c r="N184" s="8"/>
      <c r="O184" s="9"/>
      <c r="P184" s="9"/>
      <c r="Q184" s="9"/>
      <c r="R184" s="9"/>
      <c r="S184" s="8"/>
      <c r="T184" s="9" t="str">
        <f aca="false">IF(J184="","",EDATE(MAX(J184,K184,P184,Q184,R184),36))</f>
        <v/>
      </c>
      <c r="U184" s="9" t="str">
        <f aca="false">IF(OR(L184&lt;&gt;"Email",K184="",P184&lt;&gt;"",M184="Opposition",M184="Pas intéressé",M184="Client",M184="Rendez-vous pris",M184="Numéro erroné"),"",WORKDAY(K184,5))</f>
        <v/>
      </c>
      <c r="V184" s="9" t="str">
        <f aca="false">IF(OR(P184="",Q184&lt;&gt;"",M184="Opposition",M184="Pas intéressé",M184="Client",M184="Rendez-vous pris",M184="Numéro erroné"),"",WORKDAY(P184,7))</f>
        <v/>
      </c>
      <c r="W184" s="7" t="str">
        <f aca="true">IF(M184="Opposition","Ne pas contacter",IF(AND(U184&lt;&gt;"",U184&lt;=TODAY()),"Relance 1 à envoyer",IF(AND(V184&lt;&gt;"",V184&lt;=TODAY()),"Relance 2 à envoyer",IF(AND(O184&lt;&gt;"",O184&lt;=TODAY()),"Rappel à faire",""))))</f>
        <v/>
      </c>
    </row>
    <row r="185" customFormat="false" ht="15" hidden="false" customHeight="false" outlineLevel="0" collapsed="false">
      <c r="A185" s="7" t="n">
        <v>184</v>
      </c>
      <c r="B185" s="8"/>
      <c r="C185" s="8"/>
      <c r="D185" s="7"/>
      <c r="E185" s="7"/>
      <c r="F185" s="8"/>
      <c r="G185" s="7"/>
      <c r="H185" s="7"/>
      <c r="I185" s="8"/>
      <c r="J185" s="9"/>
      <c r="K185" s="9"/>
      <c r="L185" s="7"/>
      <c r="M185" s="7"/>
      <c r="N185" s="8"/>
      <c r="O185" s="9"/>
      <c r="P185" s="9"/>
      <c r="Q185" s="9"/>
      <c r="R185" s="9"/>
      <c r="S185" s="8"/>
      <c r="T185" s="9" t="str">
        <f aca="false">IF(J185="","",EDATE(MAX(J185,K185,P185,Q185,R185),36))</f>
        <v/>
      </c>
      <c r="U185" s="9" t="str">
        <f aca="false">IF(OR(L185&lt;&gt;"Email",K185="",P185&lt;&gt;"",M185="Opposition",M185="Pas intéressé",M185="Client",M185="Rendez-vous pris",M185="Numéro erroné"),"",WORKDAY(K185,5))</f>
        <v/>
      </c>
      <c r="V185" s="9" t="str">
        <f aca="false">IF(OR(P185="",Q185&lt;&gt;"",M185="Opposition",M185="Pas intéressé",M185="Client",M185="Rendez-vous pris",M185="Numéro erroné"),"",WORKDAY(P185,7))</f>
        <v/>
      </c>
      <c r="W185" s="7" t="str">
        <f aca="true">IF(M185="Opposition","Ne pas contacter",IF(AND(U185&lt;&gt;"",U185&lt;=TODAY()),"Relance 1 à envoyer",IF(AND(V185&lt;&gt;"",V185&lt;=TODAY()),"Relance 2 à envoyer",IF(AND(O185&lt;&gt;"",O185&lt;=TODAY()),"Rappel à faire",""))))</f>
        <v/>
      </c>
    </row>
    <row r="186" customFormat="false" ht="15" hidden="false" customHeight="false" outlineLevel="0" collapsed="false">
      <c r="A186" s="7" t="n">
        <v>185</v>
      </c>
      <c r="B186" s="8"/>
      <c r="C186" s="8"/>
      <c r="D186" s="7"/>
      <c r="E186" s="7"/>
      <c r="F186" s="8"/>
      <c r="G186" s="7"/>
      <c r="H186" s="7"/>
      <c r="I186" s="8"/>
      <c r="J186" s="9"/>
      <c r="K186" s="9"/>
      <c r="L186" s="7"/>
      <c r="M186" s="7"/>
      <c r="N186" s="8"/>
      <c r="O186" s="9"/>
      <c r="P186" s="9"/>
      <c r="Q186" s="9"/>
      <c r="R186" s="9"/>
      <c r="S186" s="8"/>
      <c r="T186" s="9" t="str">
        <f aca="false">IF(J186="","",EDATE(MAX(J186,K186,P186,Q186,R186),36))</f>
        <v/>
      </c>
      <c r="U186" s="9" t="str">
        <f aca="false">IF(OR(L186&lt;&gt;"Email",K186="",P186&lt;&gt;"",M186="Opposition",M186="Pas intéressé",M186="Client",M186="Rendez-vous pris",M186="Numéro erroné"),"",WORKDAY(K186,5))</f>
        <v/>
      </c>
      <c r="V186" s="9" t="str">
        <f aca="false">IF(OR(P186="",Q186&lt;&gt;"",M186="Opposition",M186="Pas intéressé",M186="Client",M186="Rendez-vous pris",M186="Numéro erroné"),"",WORKDAY(P186,7))</f>
        <v/>
      </c>
      <c r="W186" s="7" t="str">
        <f aca="true">IF(M186="Opposition","Ne pas contacter",IF(AND(U186&lt;&gt;"",U186&lt;=TODAY()),"Relance 1 à envoyer",IF(AND(V186&lt;&gt;"",V186&lt;=TODAY()),"Relance 2 à envoyer",IF(AND(O186&lt;&gt;"",O186&lt;=TODAY()),"Rappel à faire",""))))</f>
        <v/>
      </c>
    </row>
    <row r="187" customFormat="false" ht="15" hidden="false" customHeight="false" outlineLevel="0" collapsed="false">
      <c r="A187" s="7" t="n">
        <v>186</v>
      </c>
      <c r="B187" s="8"/>
      <c r="C187" s="8"/>
      <c r="D187" s="7"/>
      <c r="E187" s="7"/>
      <c r="F187" s="8"/>
      <c r="G187" s="7"/>
      <c r="H187" s="7"/>
      <c r="I187" s="8"/>
      <c r="J187" s="9"/>
      <c r="K187" s="9"/>
      <c r="L187" s="7"/>
      <c r="M187" s="7"/>
      <c r="N187" s="8"/>
      <c r="O187" s="9"/>
      <c r="P187" s="9"/>
      <c r="Q187" s="9"/>
      <c r="R187" s="9"/>
      <c r="S187" s="8"/>
      <c r="T187" s="9" t="str">
        <f aca="false">IF(J187="","",EDATE(MAX(J187,K187,P187,Q187,R187),36))</f>
        <v/>
      </c>
      <c r="U187" s="9" t="str">
        <f aca="false">IF(OR(L187&lt;&gt;"Email",K187="",P187&lt;&gt;"",M187="Opposition",M187="Pas intéressé",M187="Client",M187="Rendez-vous pris",M187="Numéro erroné"),"",WORKDAY(K187,5))</f>
        <v/>
      </c>
      <c r="V187" s="9" t="str">
        <f aca="false">IF(OR(P187="",Q187&lt;&gt;"",M187="Opposition",M187="Pas intéressé",M187="Client",M187="Rendez-vous pris",M187="Numéro erroné"),"",WORKDAY(P187,7))</f>
        <v/>
      </c>
      <c r="W187" s="7" t="str">
        <f aca="true">IF(M187="Opposition","Ne pas contacter",IF(AND(U187&lt;&gt;"",U187&lt;=TODAY()),"Relance 1 à envoyer",IF(AND(V187&lt;&gt;"",V187&lt;=TODAY()),"Relance 2 à envoyer",IF(AND(O187&lt;&gt;"",O187&lt;=TODAY()),"Rappel à faire",""))))</f>
        <v/>
      </c>
    </row>
    <row r="188" customFormat="false" ht="15" hidden="false" customHeight="false" outlineLevel="0" collapsed="false">
      <c r="A188" s="7" t="n">
        <v>187</v>
      </c>
      <c r="B188" s="8"/>
      <c r="C188" s="8"/>
      <c r="D188" s="7"/>
      <c r="E188" s="7"/>
      <c r="F188" s="8"/>
      <c r="G188" s="7"/>
      <c r="H188" s="7"/>
      <c r="I188" s="8"/>
      <c r="J188" s="9"/>
      <c r="K188" s="9"/>
      <c r="L188" s="7"/>
      <c r="M188" s="7"/>
      <c r="N188" s="8"/>
      <c r="O188" s="9"/>
      <c r="P188" s="9"/>
      <c r="Q188" s="9"/>
      <c r="R188" s="9"/>
      <c r="S188" s="8"/>
      <c r="T188" s="9" t="str">
        <f aca="false">IF(J188="","",EDATE(MAX(J188,K188,P188,Q188,R188),36))</f>
        <v/>
      </c>
      <c r="U188" s="9" t="str">
        <f aca="false">IF(OR(L188&lt;&gt;"Email",K188="",P188&lt;&gt;"",M188="Opposition",M188="Pas intéressé",M188="Client",M188="Rendez-vous pris",M188="Numéro erroné"),"",WORKDAY(K188,5))</f>
        <v/>
      </c>
      <c r="V188" s="9" t="str">
        <f aca="false">IF(OR(P188="",Q188&lt;&gt;"",M188="Opposition",M188="Pas intéressé",M188="Client",M188="Rendez-vous pris",M188="Numéro erroné"),"",WORKDAY(P188,7))</f>
        <v/>
      </c>
      <c r="W188" s="7" t="str">
        <f aca="true">IF(M188="Opposition","Ne pas contacter",IF(AND(U188&lt;&gt;"",U188&lt;=TODAY()),"Relance 1 à envoyer",IF(AND(V188&lt;&gt;"",V188&lt;=TODAY()),"Relance 2 à envoyer",IF(AND(O188&lt;&gt;"",O188&lt;=TODAY()),"Rappel à faire",""))))</f>
        <v/>
      </c>
    </row>
    <row r="189" customFormat="false" ht="15" hidden="false" customHeight="false" outlineLevel="0" collapsed="false">
      <c r="A189" s="7" t="n">
        <v>188</v>
      </c>
      <c r="B189" s="8"/>
      <c r="C189" s="8"/>
      <c r="D189" s="7"/>
      <c r="E189" s="7"/>
      <c r="F189" s="8"/>
      <c r="G189" s="7"/>
      <c r="H189" s="7"/>
      <c r="I189" s="8"/>
      <c r="J189" s="9"/>
      <c r="K189" s="9"/>
      <c r="L189" s="7"/>
      <c r="M189" s="7"/>
      <c r="N189" s="8"/>
      <c r="O189" s="9"/>
      <c r="P189" s="9"/>
      <c r="Q189" s="9"/>
      <c r="R189" s="9"/>
      <c r="S189" s="8"/>
      <c r="T189" s="9" t="str">
        <f aca="false">IF(J189="","",EDATE(MAX(J189,K189,P189,Q189,R189),36))</f>
        <v/>
      </c>
      <c r="U189" s="9" t="str">
        <f aca="false">IF(OR(L189&lt;&gt;"Email",K189="",P189&lt;&gt;"",M189="Opposition",M189="Pas intéressé",M189="Client",M189="Rendez-vous pris",M189="Numéro erroné"),"",WORKDAY(K189,5))</f>
        <v/>
      </c>
      <c r="V189" s="9" t="str">
        <f aca="false">IF(OR(P189="",Q189&lt;&gt;"",M189="Opposition",M189="Pas intéressé",M189="Client",M189="Rendez-vous pris",M189="Numéro erroné"),"",WORKDAY(P189,7))</f>
        <v/>
      </c>
      <c r="W189" s="7" t="str">
        <f aca="true">IF(M189="Opposition","Ne pas contacter",IF(AND(U189&lt;&gt;"",U189&lt;=TODAY()),"Relance 1 à envoyer",IF(AND(V189&lt;&gt;"",V189&lt;=TODAY()),"Relance 2 à envoyer",IF(AND(O189&lt;&gt;"",O189&lt;=TODAY()),"Rappel à faire",""))))</f>
        <v/>
      </c>
    </row>
    <row r="190" customFormat="false" ht="15" hidden="false" customHeight="false" outlineLevel="0" collapsed="false">
      <c r="A190" s="7" t="n">
        <v>189</v>
      </c>
      <c r="B190" s="8"/>
      <c r="C190" s="8"/>
      <c r="D190" s="7"/>
      <c r="E190" s="7"/>
      <c r="F190" s="8"/>
      <c r="G190" s="7"/>
      <c r="H190" s="7"/>
      <c r="I190" s="8"/>
      <c r="J190" s="9"/>
      <c r="K190" s="9"/>
      <c r="L190" s="7"/>
      <c r="M190" s="7"/>
      <c r="N190" s="8"/>
      <c r="O190" s="9"/>
      <c r="P190" s="9"/>
      <c r="Q190" s="9"/>
      <c r="R190" s="9"/>
      <c r="S190" s="8"/>
      <c r="T190" s="9" t="str">
        <f aca="false">IF(J190="","",EDATE(MAX(J190,K190,P190,Q190,R190),36))</f>
        <v/>
      </c>
      <c r="U190" s="9" t="str">
        <f aca="false">IF(OR(L190&lt;&gt;"Email",K190="",P190&lt;&gt;"",M190="Opposition",M190="Pas intéressé",M190="Client",M190="Rendez-vous pris",M190="Numéro erroné"),"",WORKDAY(K190,5))</f>
        <v/>
      </c>
      <c r="V190" s="9" t="str">
        <f aca="false">IF(OR(P190="",Q190&lt;&gt;"",M190="Opposition",M190="Pas intéressé",M190="Client",M190="Rendez-vous pris",M190="Numéro erroné"),"",WORKDAY(P190,7))</f>
        <v/>
      </c>
      <c r="W190" s="7" t="str">
        <f aca="true">IF(M190="Opposition","Ne pas contacter",IF(AND(U190&lt;&gt;"",U190&lt;=TODAY()),"Relance 1 à envoyer",IF(AND(V190&lt;&gt;"",V190&lt;=TODAY()),"Relance 2 à envoyer",IF(AND(O190&lt;&gt;"",O190&lt;=TODAY()),"Rappel à faire",""))))</f>
        <v/>
      </c>
    </row>
    <row r="191" customFormat="false" ht="15" hidden="false" customHeight="false" outlineLevel="0" collapsed="false">
      <c r="A191" s="7" t="n">
        <v>190</v>
      </c>
      <c r="B191" s="8"/>
      <c r="C191" s="8"/>
      <c r="D191" s="7"/>
      <c r="E191" s="7"/>
      <c r="F191" s="8"/>
      <c r="G191" s="7"/>
      <c r="H191" s="7"/>
      <c r="I191" s="8"/>
      <c r="J191" s="9"/>
      <c r="K191" s="9"/>
      <c r="L191" s="7"/>
      <c r="M191" s="7"/>
      <c r="N191" s="8"/>
      <c r="O191" s="9"/>
      <c r="P191" s="9"/>
      <c r="Q191" s="9"/>
      <c r="R191" s="9"/>
      <c r="S191" s="8"/>
      <c r="T191" s="9" t="str">
        <f aca="false">IF(J191="","",EDATE(MAX(J191,K191,P191,Q191,R191),36))</f>
        <v/>
      </c>
      <c r="U191" s="9" t="str">
        <f aca="false">IF(OR(L191&lt;&gt;"Email",K191="",P191&lt;&gt;"",M191="Opposition",M191="Pas intéressé",M191="Client",M191="Rendez-vous pris",M191="Numéro erroné"),"",WORKDAY(K191,5))</f>
        <v/>
      </c>
      <c r="V191" s="9" t="str">
        <f aca="false">IF(OR(P191="",Q191&lt;&gt;"",M191="Opposition",M191="Pas intéressé",M191="Client",M191="Rendez-vous pris",M191="Numéro erroné"),"",WORKDAY(P191,7))</f>
        <v/>
      </c>
      <c r="W191" s="7" t="str">
        <f aca="true">IF(M191="Opposition","Ne pas contacter",IF(AND(U191&lt;&gt;"",U191&lt;=TODAY()),"Relance 1 à envoyer",IF(AND(V191&lt;&gt;"",V191&lt;=TODAY()),"Relance 2 à envoyer",IF(AND(O191&lt;&gt;"",O191&lt;=TODAY()),"Rappel à faire",""))))</f>
        <v/>
      </c>
    </row>
    <row r="192" customFormat="false" ht="15" hidden="false" customHeight="false" outlineLevel="0" collapsed="false">
      <c r="A192" s="7" t="n">
        <v>191</v>
      </c>
      <c r="B192" s="8"/>
      <c r="C192" s="8"/>
      <c r="D192" s="7"/>
      <c r="E192" s="7"/>
      <c r="F192" s="8"/>
      <c r="G192" s="7"/>
      <c r="H192" s="7"/>
      <c r="I192" s="8"/>
      <c r="J192" s="9"/>
      <c r="K192" s="9"/>
      <c r="L192" s="7"/>
      <c r="M192" s="7"/>
      <c r="N192" s="8"/>
      <c r="O192" s="9"/>
      <c r="P192" s="9"/>
      <c r="Q192" s="9"/>
      <c r="R192" s="9"/>
      <c r="S192" s="8"/>
      <c r="T192" s="9" t="str">
        <f aca="false">IF(J192="","",EDATE(MAX(J192,K192,P192,Q192,R192),36))</f>
        <v/>
      </c>
      <c r="U192" s="9" t="str">
        <f aca="false">IF(OR(L192&lt;&gt;"Email",K192="",P192&lt;&gt;"",M192="Opposition",M192="Pas intéressé",M192="Client",M192="Rendez-vous pris",M192="Numéro erroné"),"",WORKDAY(K192,5))</f>
        <v/>
      </c>
      <c r="V192" s="9" t="str">
        <f aca="false">IF(OR(P192="",Q192&lt;&gt;"",M192="Opposition",M192="Pas intéressé",M192="Client",M192="Rendez-vous pris",M192="Numéro erroné"),"",WORKDAY(P192,7))</f>
        <v/>
      </c>
      <c r="W192" s="7" t="str">
        <f aca="true">IF(M192="Opposition","Ne pas contacter",IF(AND(U192&lt;&gt;"",U192&lt;=TODAY()),"Relance 1 à envoyer",IF(AND(V192&lt;&gt;"",V192&lt;=TODAY()),"Relance 2 à envoyer",IF(AND(O192&lt;&gt;"",O192&lt;=TODAY()),"Rappel à faire",""))))</f>
        <v/>
      </c>
    </row>
    <row r="193" customFormat="false" ht="15" hidden="false" customHeight="false" outlineLevel="0" collapsed="false">
      <c r="A193" s="7" t="n">
        <v>192</v>
      </c>
      <c r="B193" s="8"/>
      <c r="C193" s="8"/>
      <c r="D193" s="7"/>
      <c r="E193" s="7"/>
      <c r="F193" s="8"/>
      <c r="G193" s="7"/>
      <c r="H193" s="7"/>
      <c r="I193" s="8"/>
      <c r="J193" s="9"/>
      <c r="K193" s="9"/>
      <c r="L193" s="7"/>
      <c r="M193" s="7"/>
      <c r="N193" s="8"/>
      <c r="O193" s="9"/>
      <c r="P193" s="9"/>
      <c r="Q193" s="9"/>
      <c r="R193" s="9"/>
      <c r="S193" s="8"/>
      <c r="T193" s="9" t="str">
        <f aca="false">IF(J193="","",EDATE(MAX(J193,K193,P193,Q193,R193),36))</f>
        <v/>
      </c>
      <c r="U193" s="9" t="str">
        <f aca="false">IF(OR(L193&lt;&gt;"Email",K193="",P193&lt;&gt;"",M193="Opposition",M193="Pas intéressé",M193="Client",M193="Rendez-vous pris",M193="Numéro erroné"),"",WORKDAY(K193,5))</f>
        <v/>
      </c>
      <c r="V193" s="9" t="str">
        <f aca="false">IF(OR(P193="",Q193&lt;&gt;"",M193="Opposition",M193="Pas intéressé",M193="Client",M193="Rendez-vous pris",M193="Numéro erroné"),"",WORKDAY(P193,7))</f>
        <v/>
      </c>
      <c r="W193" s="7" t="str">
        <f aca="true">IF(M193="Opposition","Ne pas contacter",IF(AND(U193&lt;&gt;"",U193&lt;=TODAY()),"Relance 1 à envoyer",IF(AND(V193&lt;&gt;"",V193&lt;=TODAY()),"Relance 2 à envoyer",IF(AND(O193&lt;&gt;"",O193&lt;=TODAY()),"Rappel à faire",""))))</f>
        <v/>
      </c>
    </row>
    <row r="194" customFormat="false" ht="15" hidden="false" customHeight="false" outlineLevel="0" collapsed="false">
      <c r="A194" s="7" t="n">
        <v>193</v>
      </c>
      <c r="B194" s="8"/>
      <c r="C194" s="8"/>
      <c r="D194" s="7"/>
      <c r="E194" s="7"/>
      <c r="F194" s="8"/>
      <c r="G194" s="7"/>
      <c r="H194" s="7"/>
      <c r="I194" s="8"/>
      <c r="J194" s="9"/>
      <c r="K194" s="9"/>
      <c r="L194" s="7"/>
      <c r="M194" s="7"/>
      <c r="N194" s="8"/>
      <c r="O194" s="9"/>
      <c r="P194" s="9"/>
      <c r="Q194" s="9"/>
      <c r="R194" s="9"/>
      <c r="S194" s="8"/>
      <c r="T194" s="9" t="str">
        <f aca="false">IF(J194="","",EDATE(MAX(J194,K194,P194,Q194,R194),36))</f>
        <v/>
      </c>
      <c r="U194" s="9" t="str">
        <f aca="false">IF(OR(L194&lt;&gt;"Email",K194="",P194&lt;&gt;"",M194="Opposition",M194="Pas intéressé",M194="Client",M194="Rendez-vous pris",M194="Numéro erroné"),"",WORKDAY(K194,5))</f>
        <v/>
      </c>
      <c r="V194" s="9" t="str">
        <f aca="false">IF(OR(P194="",Q194&lt;&gt;"",M194="Opposition",M194="Pas intéressé",M194="Client",M194="Rendez-vous pris",M194="Numéro erroné"),"",WORKDAY(P194,7))</f>
        <v/>
      </c>
      <c r="W194" s="7" t="str">
        <f aca="true">IF(M194="Opposition","Ne pas contacter",IF(AND(U194&lt;&gt;"",U194&lt;=TODAY()),"Relance 1 à envoyer",IF(AND(V194&lt;&gt;"",V194&lt;=TODAY()),"Relance 2 à envoyer",IF(AND(O194&lt;&gt;"",O194&lt;=TODAY()),"Rappel à faire",""))))</f>
        <v/>
      </c>
    </row>
    <row r="195" customFormat="false" ht="15" hidden="false" customHeight="false" outlineLevel="0" collapsed="false">
      <c r="A195" s="7" t="n">
        <v>194</v>
      </c>
      <c r="B195" s="8"/>
      <c r="C195" s="8"/>
      <c r="D195" s="7"/>
      <c r="E195" s="7"/>
      <c r="F195" s="8"/>
      <c r="G195" s="7"/>
      <c r="H195" s="7"/>
      <c r="I195" s="8"/>
      <c r="J195" s="9"/>
      <c r="K195" s="9"/>
      <c r="L195" s="7"/>
      <c r="M195" s="7"/>
      <c r="N195" s="8"/>
      <c r="O195" s="9"/>
      <c r="P195" s="9"/>
      <c r="Q195" s="9"/>
      <c r="R195" s="9"/>
      <c r="S195" s="8"/>
      <c r="T195" s="9" t="str">
        <f aca="false">IF(J195="","",EDATE(MAX(J195,K195,P195,Q195,R195),36))</f>
        <v/>
      </c>
      <c r="U195" s="9" t="str">
        <f aca="false">IF(OR(L195&lt;&gt;"Email",K195="",P195&lt;&gt;"",M195="Opposition",M195="Pas intéressé",M195="Client",M195="Rendez-vous pris",M195="Numéro erroné"),"",WORKDAY(K195,5))</f>
        <v/>
      </c>
      <c r="V195" s="9" t="str">
        <f aca="false">IF(OR(P195="",Q195&lt;&gt;"",M195="Opposition",M195="Pas intéressé",M195="Client",M195="Rendez-vous pris",M195="Numéro erroné"),"",WORKDAY(P195,7))</f>
        <v/>
      </c>
      <c r="W195" s="7" t="str">
        <f aca="true">IF(M195="Opposition","Ne pas contacter",IF(AND(U195&lt;&gt;"",U195&lt;=TODAY()),"Relance 1 à envoyer",IF(AND(V195&lt;&gt;"",V195&lt;=TODAY()),"Relance 2 à envoyer",IF(AND(O195&lt;&gt;"",O195&lt;=TODAY()),"Rappel à faire",""))))</f>
        <v/>
      </c>
    </row>
    <row r="196" customFormat="false" ht="15" hidden="false" customHeight="false" outlineLevel="0" collapsed="false">
      <c r="A196" s="7" t="n">
        <v>195</v>
      </c>
      <c r="B196" s="8"/>
      <c r="C196" s="8"/>
      <c r="D196" s="7"/>
      <c r="E196" s="7"/>
      <c r="F196" s="8"/>
      <c r="G196" s="7"/>
      <c r="H196" s="7"/>
      <c r="I196" s="8"/>
      <c r="J196" s="9"/>
      <c r="K196" s="9"/>
      <c r="L196" s="7"/>
      <c r="M196" s="7"/>
      <c r="N196" s="8"/>
      <c r="O196" s="9"/>
      <c r="P196" s="9"/>
      <c r="Q196" s="9"/>
      <c r="R196" s="9"/>
      <c r="S196" s="8"/>
      <c r="T196" s="9" t="str">
        <f aca="false">IF(J196="","",EDATE(MAX(J196,K196,P196,Q196,R196),36))</f>
        <v/>
      </c>
      <c r="U196" s="9" t="str">
        <f aca="false">IF(OR(L196&lt;&gt;"Email",K196="",P196&lt;&gt;"",M196="Opposition",M196="Pas intéressé",M196="Client",M196="Rendez-vous pris",M196="Numéro erroné"),"",WORKDAY(K196,5))</f>
        <v/>
      </c>
      <c r="V196" s="9" t="str">
        <f aca="false">IF(OR(P196="",Q196&lt;&gt;"",M196="Opposition",M196="Pas intéressé",M196="Client",M196="Rendez-vous pris",M196="Numéro erroné"),"",WORKDAY(P196,7))</f>
        <v/>
      </c>
      <c r="W196" s="7" t="str">
        <f aca="true">IF(M196="Opposition","Ne pas contacter",IF(AND(U196&lt;&gt;"",U196&lt;=TODAY()),"Relance 1 à envoyer",IF(AND(V196&lt;&gt;"",V196&lt;=TODAY()),"Relance 2 à envoyer",IF(AND(O196&lt;&gt;"",O196&lt;=TODAY()),"Rappel à faire",""))))</f>
        <v/>
      </c>
    </row>
    <row r="197" customFormat="false" ht="15" hidden="false" customHeight="false" outlineLevel="0" collapsed="false">
      <c r="A197" s="7" t="n">
        <v>196</v>
      </c>
      <c r="B197" s="8"/>
      <c r="C197" s="8"/>
      <c r="D197" s="7"/>
      <c r="E197" s="7"/>
      <c r="F197" s="8"/>
      <c r="G197" s="7"/>
      <c r="H197" s="7"/>
      <c r="I197" s="8"/>
      <c r="J197" s="9"/>
      <c r="K197" s="9"/>
      <c r="L197" s="7"/>
      <c r="M197" s="7"/>
      <c r="N197" s="8"/>
      <c r="O197" s="9"/>
      <c r="P197" s="9"/>
      <c r="Q197" s="9"/>
      <c r="R197" s="9"/>
      <c r="S197" s="8"/>
      <c r="T197" s="9" t="str">
        <f aca="false">IF(J197="","",EDATE(MAX(J197,K197,P197,Q197,R197),36))</f>
        <v/>
      </c>
      <c r="U197" s="9" t="str">
        <f aca="false">IF(OR(L197&lt;&gt;"Email",K197="",P197&lt;&gt;"",M197="Opposition",M197="Pas intéressé",M197="Client",M197="Rendez-vous pris",M197="Numéro erroné"),"",WORKDAY(K197,5))</f>
        <v/>
      </c>
      <c r="V197" s="9" t="str">
        <f aca="false">IF(OR(P197="",Q197&lt;&gt;"",M197="Opposition",M197="Pas intéressé",M197="Client",M197="Rendez-vous pris",M197="Numéro erroné"),"",WORKDAY(P197,7))</f>
        <v/>
      </c>
      <c r="W197" s="7" t="str">
        <f aca="true">IF(M197="Opposition","Ne pas contacter",IF(AND(U197&lt;&gt;"",U197&lt;=TODAY()),"Relance 1 à envoyer",IF(AND(V197&lt;&gt;"",V197&lt;=TODAY()),"Relance 2 à envoyer",IF(AND(O197&lt;&gt;"",O197&lt;=TODAY()),"Rappel à faire",""))))</f>
        <v/>
      </c>
    </row>
    <row r="198" customFormat="false" ht="15" hidden="false" customHeight="false" outlineLevel="0" collapsed="false">
      <c r="A198" s="7" t="n">
        <v>197</v>
      </c>
      <c r="B198" s="8"/>
      <c r="C198" s="8"/>
      <c r="D198" s="7"/>
      <c r="E198" s="7"/>
      <c r="F198" s="8"/>
      <c r="G198" s="7"/>
      <c r="H198" s="7"/>
      <c r="I198" s="8"/>
      <c r="J198" s="9"/>
      <c r="K198" s="9"/>
      <c r="L198" s="7"/>
      <c r="M198" s="7"/>
      <c r="N198" s="8"/>
      <c r="O198" s="9"/>
      <c r="P198" s="9"/>
      <c r="Q198" s="9"/>
      <c r="R198" s="9"/>
      <c r="S198" s="8"/>
      <c r="T198" s="9" t="str">
        <f aca="false">IF(J198="","",EDATE(MAX(J198,K198,P198,Q198,R198),36))</f>
        <v/>
      </c>
      <c r="U198" s="9" t="str">
        <f aca="false">IF(OR(L198&lt;&gt;"Email",K198="",P198&lt;&gt;"",M198="Opposition",M198="Pas intéressé",M198="Client",M198="Rendez-vous pris",M198="Numéro erroné"),"",WORKDAY(K198,5))</f>
        <v/>
      </c>
      <c r="V198" s="9" t="str">
        <f aca="false">IF(OR(P198="",Q198&lt;&gt;"",M198="Opposition",M198="Pas intéressé",M198="Client",M198="Rendez-vous pris",M198="Numéro erroné"),"",WORKDAY(P198,7))</f>
        <v/>
      </c>
      <c r="W198" s="7" t="str">
        <f aca="true">IF(M198="Opposition","Ne pas contacter",IF(AND(U198&lt;&gt;"",U198&lt;=TODAY()),"Relance 1 à envoyer",IF(AND(V198&lt;&gt;"",V198&lt;=TODAY()),"Relance 2 à envoyer",IF(AND(O198&lt;&gt;"",O198&lt;=TODAY()),"Rappel à faire",""))))</f>
        <v/>
      </c>
    </row>
    <row r="199" customFormat="false" ht="15" hidden="false" customHeight="false" outlineLevel="0" collapsed="false">
      <c r="A199" s="7" t="n">
        <v>198</v>
      </c>
      <c r="B199" s="8"/>
      <c r="C199" s="8"/>
      <c r="D199" s="7"/>
      <c r="E199" s="7"/>
      <c r="F199" s="8"/>
      <c r="G199" s="7"/>
      <c r="H199" s="7"/>
      <c r="I199" s="8"/>
      <c r="J199" s="9"/>
      <c r="K199" s="9"/>
      <c r="L199" s="7"/>
      <c r="M199" s="7"/>
      <c r="N199" s="8"/>
      <c r="O199" s="9"/>
      <c r="P199" s="9"/>
      <c r="Q199" s="9"/>
      <c r="R199" s="9"/>
      <c r="S199" s="8"/>
      <c r="T199" s="9" t="str">
        <f aca="false">IF(J199="","",EDATE(MAX(J199,K199,P199,Q199,R199),36))</f>
        <v/>
      </c>
      <c r="U199" s="9" t="str">
        <f aca="false">IF(OR(L199&lt;&gt;"Email",K199="",P199&lt;&gt;"",M199="Opposition",M199="Pas intéressé",M199="Client",M199="Rendez-vous pris",M199="Numéro erroné"),"",WORKDAY(K199,5))</f>
        <v/>
      </c>
      <c r="V199" s="9" t="str">
        <f aca="false">IF(OR(P199="",Q199&lt;&gt;"",M199="Opposition",M199="Pas intéressé",M199="Client",M199="Rendez-vous pris",M199="Numéro erroné"),"",WORKDAY(P199,7))</f>
        <v/>
      </c>
      <c r="W199" s="7" t="str">
        <f aca="true">IF(M199="Opposition","Ne pas contacter",IF(AND(U199&lt;&gt;"",U199&lt;=TODAY()),"Relance 1 à envoyer",IF(AND(V199&lt;&gt;"",V199&lt;=TODAY()),"Relance 2 à envoyer",IF(AND(O199&lt;&gt;"",O199&lt;=TODAY()),"Rappel à faire",""))))</f>
        <v/>
      </c>
    </row>
    <row r="200" customFormat="false" ht="15" hidden="false" customHeight="false" outlineLevel="0" collapsed="false">
      <c r="A200" s="7" t="n">
        <v>199</v>
      </c>
      <c r="B200" s="8"/>
      <c r="C200" s="8"/>
      <c r="D200" s="7"/>
      <c r="E200" s="7"/>
      <c r="F200" s="8"/>
      <c r="G200" s="7"/>
      <c r="H200" s="7"/>
      <c r="I200" s="8"/>
      <c r="J200" s="9"/>
      <c r="K200" s="9"/>
      <c r="L200" s="7"/>
      <c r="M200" s="7"/>
      <c r="N200" s="8"/>
      <c r="O200" s="9"/>
      <c r="P200" s="9"/>
      <c r="Q200" s="9"/>
      <c r="R200" s="9"/>
      <c r="S200" s="8"/>
      <c r="T200" s="9" t="str">
        <f aca="false">IF(J200="","",EDATE(MAX(J200,K200,P200,Q200,R200),36))</f>
        <v/>
      </c>
      <c r="U200" s="9" t="str">
        <f aca="false">IF(OR(L200&lt;&gt;"Email",K200="",P200&lt;&gt;"",M200="Opposition",M200="Pas intéressé",M200="Client",M200="Rendez-vous pris",M200="Numéro erroné"),"",WORKDAY(K200,5))</f>
        <v/>
      </c>
      <c r="V200" s="9" t="str">
        <f aca="false">IF(OR(P200="",Q200&lt;&gt;"",M200="Opposition",M200="Pas intéressé",M200="Client",M200="Rendez-vous pris",M200="Numéro erroné"),"",WORKDAY(P200,7))</f>
        <v/>
      </c>
      <c r="W200" s="7" t="str">
        <f aca="true">IF(M200="Opposition","Ne pas contacter",IF(AND(U200&lt;&gt;"",U200&lt;=TODAY()),"Relance 1 à envoyer",IF(AND(V200&lt;&gt;"",V200&lt;=TODAY()),"Relance 2 à envoyer",IF(AND(O200&lt;&gt;"",O200&lt;=TODAY()),"Rappel à faire",""))))</f>
        <v/>
      </c>
    </row>
    <row r="201" customFormat="false" ht="15" hidden="false" customHeight="false" outlineLevel="0" collapsed="false">
      <c r="A201" s="7" t="n">
        <v>200</v>
      </c>
      <c r="B201" s="8"/>
      <c r="C201" s="8"/>
      <c r="D201" s="7"/>
      <c r="E201" s="7"/>
      <c r="F201" s="8"/>
      <c r="G201" s="7"/>
      <c r="H201" s="7"/>
      <c r="I201" s="8"/>
      <c r="J201" s="9"/>
      <c r="K201" s="9"/>
      <c r="L201" s="7"/>
      <c r="M201" s="7"/>
      <c r="N201" s="8"/>
      <c r="O201" s="9"/>
      <c r="P201" s="9"/>
      <c r="Q201" s="9"/>
      <c r="R201" s="9"/>
      <c r="S201" s="8"/>
      <c r="T201" s="9" t="str">
        <f aca="false">IF(J201="","",EDATE(MAX(J201,K201,P201,Q201,R201),36))</f>
        <v/>
      </c>
      <c r="U201" s="9" t="str">
        <f aca="false">IF(OR(L201&lt;&gt;"Email",K201="",P201&lt;&gt;"",M201="Opposition",M201="Pas intéressé",M201="Client",M201="Rendez-vous pris",M201="Numéro erroné"),"",WORKDAY(K201,5))</f>
        <v/>
      </c>
      <c r="V201" s="9" t="str">
        <f aca="false">IF(OR(P201="",Q201&lt;&gt;"",M201="Opposition",M201="Pas intéressé",M201="Client",M201="Rendez-vous pris",M201="Numéro erroné"),"",WORKDAY(P201,7))</f>
        <v/>
      </c>
      <c r="W201" s="7" t="str">
        <f aca="true">IF(M201="Opposition","Ne pas contacter",IF(AND(U201&lt;&gt;"",U201&lt;=TODAY()),"Relance 1 à envoyer",IF(AND(V201&lt;&gt;"",V201&lt;=TODAY()),"Relance 2 à envoyer",IF(AND(O201&lt;&gt;"",O201&lt;=TODAY()),"Rappel à faire",""))))</f>
        <v/>
      </c>
    </row>
    <row r="202" customFormat="false" ht="15" hidden="false" customHeight="false" outlineLevel="0" collapsed="false">
      <c r="A202" s="7" t="n">
        <v>201</v>
      </c>
      <c r="B202" s="8"/>
      <c r="C202" s="8"/>
      <c r="D202" s="7"/>
      <c r="E202" s="7"/>
      <c r="F202" s="8"/>
      <c r="G202" s="7"/>
      <c r="H202" s="7"/>
      <c r="I202" s="8"/>
      <c r="J202" s="9"/>
      <c r="K202" s="9"/>
      <c r="L202" s="7"/>
      <c r="M202" s="7"/>
      <c r="N202" s="8"/>
      <c r="O202" s="9"/>
      <c r="P202" s="9"/>
      <c r="Q202" s="9"/>
      <c r="R202" s="9"/>
      <c r="S202" s="8"/>
      <c r="T202" s="9" t="str">
        <f aca="false">IF(J202="","",EDATE(MAX(J202,K202,P202,Q202,R202),36))</f>
        <v/>
      </c>
      <c r="U202" s="9" t="str">
        <f aca="false">IF(OR(L202&lt;&gt;"Email",K202="",P202&lt;&gt;"",M202="Opposition",M202="Pas intéressé",M202="Client",M202="Rendez-vous pris",M202="Numéro erroné"),"",WORKDAY(K202,5))</f>
        <v/>
      </c>
      <c r="V202" s="9" t="str">
        <f aca="false">IF(OR(P202="",Q202&lt;&gt;"",M202="Opposition",M202="Pas intéressé",M202="Client",M202="Rendez-vous pris",M202="Numéro erroné"),"",WORKDAY(P202,7))</f>
        <v/>
      </c>
      <c r="W202" s="7" t="str">
        <f aca="true">IF(M202="Opposition","Ne pas contacter",IF(AND(U202&lt;&gt;"",U202&lt;=TODAY()),"Relance 1 à envoyer",IF(AND(V202&lt;&gt;"",V202&lt;=TODAY()),"Relance 2 à envoyer",IF(AND(O202&lt;&gt;"",O202&lt;=TODAY()),"Rappel à faire",""))))</f>
        <v/>
      </c>
    </row>
    <row r="203" customFormat="false" ht="15" hidden="false" customHeight="false" outlineLevel="0" collapsed="false">
      <c r="A203" s="7" t="n">
        <v>202</v>
      </c>
      <c r="B203" s="8"/>
      <c r="C203" s="8"/>
      <c r="D203" s="7"/>
      <c r="E203" s="7"/>
      <c r="F203" s="8"/>
      <c r="G203" s="7"/>
      <c r="H203" s="7"/>
      <c r="I203" s="8"/>
      <c r="J203" s="9"/>
      <c r="K203" s="9"/>
      <c r="L203" s="7"/>
      <c r="M203" s="7"/>
      <c r="N203" s="8"/>
      <c r="O203" s="9"/>
      <c r="P203" s="9"/>
      <c r="Q203" s="9"/>
      <c r="R203" s="9"/>
      <c r="S203" s="8"/>
      <c r="T203" s="9" t="str">
        <f aca="false">IF(J203="","",EDATE(MAX(J203,K203,P203,Q203,R203),36))</f>
        <v/>
      </c>
      <c r="U203" s="9" t="str">
        <f aca="false">IF(OR(L203&lt;&gt;"Email",K203="",P203&lt;&gt;"",M203="Opposition",M203="Pas intéressé",M203="Client",M203="Rendez-vous pris",M203="Numéro erroné"),"",WORKDAY(K203,5))</f>
        <v/>
      </c>
      <c r="V203" s="9" t="str">
        <f aca="false">IF(OR(P203="",Q203&lt;&gt;"",M203="Opposition",M203="Pas intéressé",M203="Client",M203="Rendez-vous pris",M203="Numéro erroné"),"",WORKDAY(P203,7))</f>
        <v/>
      </c>
      <c r="W203" s="7" t="str">
        <f aca="true">IF(M203="Opposition","Ne pas contacter",IF(AND(U203&lt;&gt;"",U203&lt;=TODAY()),"Relance 1 à envoyer",IF(AND(V203&lt;&gt;"",V203&lt;=TODAY()),"Relance 2 à envoyer",IF(AND(O203&lt;&gt;"",O203&lt;=TODAY()),"Rappel à faire",""))))</f>
        <v/>
      </c>
    </row>
    <row r="204" customFormat="false" ht="15" hidden="false" customHeight="false" outlineLevel="0" collapsed="false">
      <c r="A204" s="7" t="n">
        <v>203</v>
      </c>
      <c r="B204" s="8"/>
      <c r="C204" s="8"/>
      <c r="D204" s="7"/>
      <c r="E204" s="7"/>
      <c r="F204" s="8"/>
      <c r="G204" s="7"/>
      <c r="H204" s="7"/>
      <c r="I204" s="8"/>
      <c r="J204" s="9"/>
      <c r="K204" s="9"/>
      <c r="L204" s="7"/>
      <c r="M204" s="7"/>
      <c r="N204" s="8"/>
      <c r="O204" s="9"/>
      <c r="P204" s="9"/>
      <c r="Q204" s="9"/>
      <c r="R204" s="9"/>
      <c r="S204" s="8"/>
      <c r="T204" s="9" t="str">
        <f aca="false">IF(J204="","",EDATE(MAX(J204,K204,P204,Q204,R204),36))</f>
        <v/>
      </c>
      <c r="U204" s="9" t="str">
        <f aca="false">IF(OR(L204&lt;&gt;"Email",K204="",P204&lt;&gt;"",M204="Opposition",M204="Pas intéressé",M204="Client",M204="Rendez-vous pris",M204="Numéro erroné"),"",WORKDAY(K204,5))</f>
        <v/>
      </c>
      <c r="V204" s="9" t="str">
        <f aca="false">IF(OR(P204="",Q204&lt;&gt;"",M204="Opposition",M204="Pas intéressé",M204="Client",M204="Rendez-vous pris",M204="Numéro erroné"),"",WORKDAY(P204,7))</f>
        <v/>
      </c>
      <c r="W204" s="7" t="str">
        <f aca="true">IF(M204="Opposition","Ne pas contacter",IF(AND(U204&lt;&gt;"",U204&lt;=TODAY()),"Relance 1 à envoyer",IF(AND(V204&lt;&gt;"",V204&lt;=TODAY()),"Relance 2 à envoyer",IF(AND(O204&lt;&gt;"",O204&lt;=TODAY()),"Rappel à faire",""))))</f>
        <v/>
      </c>
    </row>
    <row r="205" customFormat="false" ht="15" hidden="false" customHeight="false" outlineLevel="0" collapsed="false">
      <c r="A205" s="7" t="n">
        <v>204</v>
      </c>
      <c r="B205" s="8"/>
      <c r="C205" s="8"/>
      <c r="D205" s="7"/>
      <c r="E205" s="7"/>
      <c r="F205" s="8"/>
      <c r="G205" s="7"/>
      <c r="H205" s="7"/>
      <c r="I205" s="8"/>
      <c r="J205" s="9"/>
      <c r="K205" s="9"/>
      <c r="L205" s="7"/>
      <c r="M205" s="7"/>
      <c r="N205" s="8"/>
      <c r="O205" s="9"/>
      <c r="P205" s="9"/>
      <c r="Q205" s="9"/>
      <c r="R205" s="9"/>
      <c r="S205" s="8"/>
      <c r="T205" s="9" t="str">
        <f aca="false">IF(J205="","",EDATE(MAX(J205,K205,P205,Q205,R205),36))</f>
        <v/>
      </c>
      <c r="U205" s="9" t="str">
        <f aca="false">IF(OR(L205&lt;&gt;"Email",K205="",P205&lt;&gt;"",M205="Opposition",M205="Pas intéressé",M205="Client",M205="Rendez-vous pris",M205="Numéro erroné"),"",WORKDAY(K205,5))</f>
        <v/>
      </c>
      <c r="V205" s="9" t="str">
        <f aca="false">IF(OR(P205="",Q205&lt;&gt;"",M205="Opposition",M205="Pas intéressé",M205="Client",M205="Rendez-vous pris",M205="Numéro erroné"),"",WORKDAY(P205,7))</f>
        <v/>
      </c>
      <c r="W205" s="7" t="str">
        <f aca="true">IF(M205="Opposition","Ne pas contacter",IF(AND(U205&lt;&gt;"",U205&lt;=TODAY()),"Relance 1 à envoyer",IF(AND(V205&lt;&gt;"",V205&lt;=TODAY()),"Relance 2 à envoyer",IF(AND(O205&lt;&gt;"",O205&lt;=TODAY()),"Rappel à faire",""))))</f>
        <v/>
      </c>
    </row>
    <row r="206" customFormat="false" ht="15" hidden="false" customHeight="false" outlineLevel="0" collapsed="false">
      <c r="A206" s="7" t="n">
        <v>205</v>
      </c>
      <c r="B206" s="8"/>
      <c r="C206" s="8"/>
      <c r="D206" s="7"/>
      <c r="E206" s="7"/>
      <c r="F206" s="8"/>
      <c r="G206" s="7"/>
      <c r="H206" s="7"/>
      <c r="I206" s="8"/>
      <c r="J206" s="9"/>
      <c r="K206" s="9"/>
      <c r="L206" s="7"/>
      <c r="M206" s="7"/>
      <c r="N206" s="8"/>
      <c r="O206" s="9"/>
      <c r="P206" s="9"/>
      <c r="Q206" s="9"/>
      <c r="R206" s="9"/>
      <c r="S206" s="8"/>
      <c r="T206" s="9" t="str">
        <f aca="false">IF(J206="","",EDATE(MAX(J206,K206,P206,Q206,R206),36))</f>
        <v/>
      </c>
      <c r="U206" s="9" t="str">
        <f aca="false">IF(OR(L206&lt;&gt;"Email",K206="",P206&lt;&gt;"",M206="Opposition",M206="Pas intéressé",M206="Client",M206="Rendez-vous pris",M206="Numéro erroné"),"",WORKDAY(K206,5))</f>
        <v/>
      </c>
      <c r="V206" s="9" t="str">
        <f aca="false">IF(OR(P206="",Q206&lt;&gt;"",M206="Opposition",M206="Pas intéressé",M206="Client",M206="Rendez-vous pris",M206="Numéro erroné"),"",WORKDAY(P206,7))</f>
        <v/>
      </c>
      <c r="W206" s="7" t="str">
        <f aca="true">IF(M206="Opposition","Ne pas contacter",IF(AND(U206&lt;&gt;"",U206&lt;=TODAY()),"Relance 1 à envoyer",IF(AND(V206&lt;&gt;"",V206&lt;=TODAY()),"Relance 2 à envoyer",IF(AND(O206&lt;&gt;"",O206&lt;=TODAY()),"Rappel à faire",""))))</f>
        <v/>
      </c>
    </row>
    <row r="207" customFormat="false" ht="15" hidden="false" customHeight="false" outlineLevel="0" collapsed="false">
      <c r="A207" s="7" t="n">
        <v>206</v>
      </c>
      <c r="B207" s="8"/>
      <c r="C207" s="8"/>
      <c r="D207" s="7"/>
      <c r="E207" s="7"/>
      <c r="F207" s="8"/>
      <c r="G207" s="7"/>
      <c r="H207" s="7"/>
      <c r="I207" s="8"/>
      <c r="J207" s="9"/>
      <c r="K207" s="9"/>
      <c r="L207" s="7"/>
      <c r="M207" s="7"/>
      <c r="N207" s="8"/>
      <c r="O207" s="9"/>
      <c r="P207" s="9"/>
      <c r="Q207" s="9"/>
      <c r="R207" s="9"/>
      <c r="S207" s="8"/>
      <c r="T207" s="9" t="str">
        <f aca="false">IF(J207="","",EDATE(MAX(J207,K207,P207,Q207,R207),36))</f>
        <v/>
      </c>
      <c r="U207" s="9" t="str">
        <f aca="false">IF(OR(L207&lt;&gt;"Email",K207="",P207&lt;&gt;"",M207="Opposition",M207="Pas intéressé",M207="Client",M207="Rendez-vous pris",M207="Numéro erroné"),"",WORKDAY(K207,5))</f>
        <v/>
      </c>
      <c r="V207" s="9" t="str">
        <f aca="false">IF(OR(P207="",Q207&lt;&gt;"",M207="Opposition",M207="Pas intéressé",M207="Client",M207="Rendez-vous pris",M207="Numéro erroné"),"",WORKDAY(P207,7))</f>
        <v/>
      </c>
      <c r="W207" s="7" t="str">
        <f aca="true">IF(M207="Opposition","Ne pas contacter",IF(AND(U207&lt;&gt;"",U207&lt;=TODAY()),"Relance 1 à envoyer",IF(AND(V207&lt;&gt;"",V207&lt;=TODAY()),"Relance 2 à envoyer",IF(AND(O207&lt;&gt;"",O207&lt;=TODAY()),"Rappel à faire",""))))</f>
        <v/>
      </c>
    </row>
    <row r="208" customFormat="false" ht="15" hidden="false" customHeight="false" outlineLevel="0" collapsed="false">
      <c r="A208" s="7" t="n">
        <v>207</v>
      </c>
      <c r="B208" s="8"/>
      <c r="C208" s="8"/>
      <c r="D208" s="7"/>
      <c r="E208" s="7"/>
      <c r="F208" s="8"/>
      <c r="G208" s="7"/>
      <c r="H208" s="7"/>
      <c r="I208" s="8"/>
      <c r="J208" s="9"/>
      <c r="K208" s="9"/>
      <c r="L208" s="7"/>
      <c r="M208" s="7"/>
      <c r="N208" s="8"/>
      <c r="O208" s="9"/>
      <c r="P208" s="9"/>
      <c r="Q208" s="9"/>
      <c r="R208" s="9"/>
      <c r="S208" s="8"/>
      <c r="T208" s="9" t="str">
        <f aca="false">IF(J208="","",EDATE(MAX(J208,K208,P208,Q208,R208),36))</f>
        <v/>
      </c>
      <c r="U208" s="9" t="str">
        <f aca="false">IF(OR(L208&lt;&gt;"Email",K208="",P208&lt;&gt;"",M208="Opposition",M208="Pas intéressé",M208="Client",M208="Rendez-vous pris",M208="Numéro erroné"),"",WORKDAY(K208,5))</f>
        <v/>
      </c>
      <c r="V208" s="9" t="str">
        <f aca="false">IF(OR(P208="",Q208&lt;&gt;"",M208="Opposition",M208="Pas intéressé",M208="Client",M208="Rendez-vous pris",M208="Numéro erroné"),"",WORKDAY(P208,7))</f>
        <v/>
      </c>
      <c r="W208" s="7" t="str">
        <f aca="true">IF(M208="Opposition","Ne pas contacter",IF(AND(U208&lt;&gt;"",U208&lt;=TODAY()),"Relance 1 à envoyer",IF(AND(V208&lt;&gt;"",V208&lt;=TODAY()),"Relance 2 à envoyer",IF(AND(O208&lt;&gt;"",O208&lt;=TODAY()),"Rappel à faire",""))))</f>
        <v/>
      </c>
    </row>
    <row r="209" customFormat="false" ht="15" hidden="false" customHeight="false" outlineLevel="0" collapsed="false">
      <c r="A209" s="7" t="n">
        <v>208</v>
      </c>
      <c r="B209" s="8"/>
      <c r="C209" s="8"/>
      <c r="D209" s="7"/>
      <c r="E209" s="7"/>
      <c r="F209" s="8"/>
      <c r="G209" s="7"/>
      <c r="H209" s="7"/>
      <c r="I209" s="8"/>
      <c r="J209" s="9"/>
      <c r="K209" s="9"/>
      <c r="L209" s="7"/>
      <c r="M209" s="7"/>
      <c r="N209" s="8"/>
      <c r="O209" s="9"/>
      <c r="P209" s="9"/>
      <c r="Q209" s="9"/>
      <c r="R209" s="9"/>
      <c r="S209" s="8"/>
      <c r="T209" s="9" t="str">
        <f aca="false">IF(J209="","",EDATE(MAX(J209,K209,P209,Q209,R209),36))</f>
        <v/>
      </c>
      <c r="U209" s="9" t="str">
        <f aca="false">IF(OR(L209&lt;&gt;"Email",K209="",P209&lt;&gt;"",M209="Opposition",M209="Pas intéressé",M209="Client",M209="Rendez-vous pris",M209="Numéro erroné"),"",WORKDAY(K209,5))</f>
        <v/>
      </c>
      <c r="V209" s="9" t="str">
        <f aca="false">IF(OR(P209="",Q209&lt;&gt;"",M209="Opposition",M209="Pas intéressé",M209="Client",M209="Rendez-vous pris",M209="Numéro erroné"),"",WORKDAY(P209,7))</f>
        <v/>
      </c>
      <c r="W209" s="7" t="str">
        <f aca="true">IF(M209="Opposition","Ne pas contacter",IF(AND(U209&lt;&gt;"",U209&lt;=TODAY()),"Relance 1 à envoyer",IF(AND(V209&lt;&gt;"",V209&lt;=TODAY()),"Relance 2 à envoyer",IF(AND(O209&lt;&gt;"",O209&lt;=TODAY()),"Rappel à faire",""))))</f>
        <v/>
      </c>
    </row>
    <row r="210" customFormat="false" ht="15" hidden="false" customHeight="false" outlineLevel="0" collapsed="false">
      <c r="A210" s="7" t="n">
        <v>209</v>
      </c>
      <c r="B210" s="8"/>
      <c r="C210" s="8"/>
      <c r="D210" s="7"/>
      <c r="E210" s="7"/>
      <c r="F210" s="8"/>
      <c r="G210" s="7"/>
      <c r="H210" s="7"/>
      <c r="I210" s="8"/>
      <c r="J210" s="9"/>
      <c r="K210" s="9"/>
      <c r="L210" s="7"/>
      <c r="M210" s="7"/>
      <c r="N210" s="8"/>
      <c r="O210" s="9"/>
      <c r="P210" s="9"/>
      <c r="Q210" s="9"/>
      <c r="R210" s="9"/>
      <c r="S210" s="8"/>
      <c r="T210" s="9" t="str">
        <f aca="false">IF(J210="","",EDATE(MAX(J210,K210,P210,Q210,R210),36))</f>
        <v/>
      </c>
      <c r="U210" s="9" t="str">
        <f aca="false">IF(OR(L210&lt;&gt;"Email",K210="",P210&lt;&gt;"",M210="Opposition",M210="Pas intéressé",M210="Client",M210="Rendez-vous pris",M210="Numéro erroné"),"",WORKDAY(K210,5))</f>
        <v/>
      </c>
      <c r="V210" s="9" t="str">
        <f aca="false">IF(OR(P210="",Q210&lt;&gt;"",M210="Opposition",M210="Pas intéressé",M210="Client",M210="Rendez-vous pris",M210="Numéro erroné"),"",WORKDAY(P210,7))</f>
        <v/>
      </c>
      <c r="W210" s="7" t="str">
        <f aca="true">IF(M210="Opposition","Ne pas contacter",IF(AND(U210&lt;&gt;"",U210&lt;=TODAY()),"Relance 1 à envoyer",IF(AND(V210&lt;&gt;"",V210&lt;=TODAY()),"Relance 2 à envoyer",IF(AND(O210&lt;&gt;"",O210&lt;=TODAY()),"Rappel à faire",""))))</f>
        <v/>
      </c>
    </row>
    <row r="211" customFormat="false" ht="15" hidden="false" customHeight="false" outlineLevel="0" collapsed="false">
      <c r="A211" s="7" t="n">
        <v>210</v>
      </c>
      <c r="B211" s="8"/>
      <c r="C211" s="8"/>
      <c r="D211" s="7"/>
      <c r="E211" s="7"/>
      <c r="F211" s="8"/>
      <c r="G211" s="7"/>
      <c r="H211" s="7"/>
      <c r="I211" s="8"/>
      <c r="J211" s="9"/>
      <c r="K211" s="9"/>
      <c r="L211" s="7"/>
      <c r="M211" s="7"/>
      <c r="N211" s="8"/>
      <c r="O211" s="9"/>
      <c r="P211" s="9"/>
      <c r="Q211" s="9"/>
      <c r="R211" s="9"/>
      <c r="S211" s="8"/>
      <c r="T211" s="9" t="str">
        <f aca="false">IF(J211="","",EDATE(MAX(J211,K211,P211,Q211,R211),36))</f>
        <v/>
      </c>
      <c r="U211" s="9" t="str">
        <f aca="false">IF(OR(L211&lt;&gt;"Email",K211="",P211&lt;&gt;"",M211="Opposition",M211="Pas intéressé",M211="Client",M211="Rendez-vous pris",M211="Numéro erroné"),"",WORKDAY(K211,5))</f>
        <v/>
      </c>
      <c r="V211" s="9" t="str">
        <f aca="false">IF(OR(P211="",Q211&lt;&gt;"",M211="Opposition",M211="Pas intéressé",M211="Client",M211="Rendez-vous pris",M211="Numéro erroné"),"",WORKDAY(P211,7))</f>
        <v/>
      </c>
      <c r="W211" s="7" t="str">
        <f aca="true">IF(M211="Opposition","Ne pas contacter",IF(AND(U211&lt;&gt;"",U211&lt;=TODAY()),"Relance 1 à envoyer",IF(AND(V211&lt;&gt;"",V211&lt;=TODAY()),"Relance 2 à envoyer",IF(AND(O211&lt;&gt;"",O211&lt;=TODAY()),"Rappel à faire",""))))</f>
        <v/>
      </c>
    </row>
    <row r="212" customFormat="false" ht="15" hidden="false" customHeight="false" outlineLevel="0" collapsed="false">
      <c r="A212" s="7" t="n">
        <v>211</v>
      </c>
      <c r="B212" s="8"/>
      <c r="C212" s="8"/>
      <c r="D212" s="7"/>
      <c r="E212" s="7"/>
      <c r="F212" s="8"/>
      <c r="G212" s="7"/>
      <c r="H212" s="7"/>
      <c r="I212" s="8"/>
      <c r="J212" s="9"/>
      <c r="K212" s="9"/>
      <c r="L212" s="7"/>
      <c r="M212" s="7"/>
      <c r="N212" s="8"/>
      <c r="O212" s="9"/>
      <c r="P212" s="9"/>
      <c r="Q212" s="9"/>
      <c r="R212" s="9"/>
      <c r="S212" s="8"/>
      <c r="T212" s="9" t="str">
        <f aca="false">IF(J212="","",EDATE(MAX(J212,K212,P212,Q212,R212),36))</f>
        <v/>
      </c>
      <c r="U212" s="9" t="str">
        <f aca="false">IF(OR(L212&lt;&gt;"Email",K212="",P212&lt;&gt;"",M212="Opposition",M212="Pas intéressé",M212="Client",M212="Rendez-vous pris",M212="Numéro erroné"),"",WORKDAY(K212,5))</f>
        <v/>
      </c>
      <c r="V212" s="9" t="str">
        <f aca="false">IF(OR(P212="",Q212&lt;&gt;"",M212="Opposition",M212="Pas intéressé",M212="Client",M212="Rendez-vous pris",M212="Numéro erroné"),"",WORKDAY(P212,7))</f>
        <v/>
      </c>
      <c r="W212" s="7" t="str">
        <f aca="true">IF(M212="Opposition","Ne pas contacter",IF(AND(U212&lt;&gt;"",U212&lt;=TODAY()),"Relance 1 à envoyer",IF(AND(V212&lt;&gt;"",V212&lt;=TODAY()),"Relance 2 à envoyer",IF(AND(O212&lt;&gt;"",O212&lt;=TODAY()),"Rappel à faire",""))))</f>
        <v/>
      </c>
    </row>
    <row r="213" customFormat="false" ht="15" hidden="false" customHeight="false" outlineLevel="0" collapsed="false">
      <c r="A213" s="7" t="n">
        <v>212</v>
      </c>
      <c r="B213" s="8"/>
      <c r="C213" s="8"/>
      <c r="D213" s="7"/>
      <c r="E213" s="7"/>
      <c r="F213" s="8"/>
      <c r="G213" s="7"/>
      <c r="H213" s="7"/>
      <c r="I213" s="8"/>
      <c r="J213" s="9"/>
      <c r="K213" s="9"/>
      <c r="L213" s="7"/>
      <c r="M213" s="7"/>
      <c r="N213" s="8"/>
      <c r="O213" s="9"/>
      <c r="P213" s="9"/>
      <c r="Q213" s="9"/>
      <c r="R213" s="9"/>
      <c r="S213" s="8"/>
      <c r="T213" s="9" t="str">
        <f aca="false">IF(J213="","",EDATE(MAX(J213,K213,P213,Q213,R213),36))</f>
        <v/>
      </c>
      <c r="U213" s="9" t="str">
        <f aca="false">IF(OR(L213&lt;&gt;"Email",K213="",P213&lt;&gt;"",M213="Opposition",M213="Pas intéressé",M213="Client",M213="Rendez-vous pris",M213="Numéro erroné"),"",WORKDAY(K213,5))</f>
        <v/>
      </c>
      <c r="V213" s="9" t="str">
        <f aca="false">IF(OR(P213="",Q213&lt;&gt;"",M213="Opposition",M213="Pas intéressé",M213="Client",M213="Rendez-vous pris",M213="Numéro erroné"),"",WORKDAY(P213,7))</f>
        <v/>
      </c>
      <c r="W213" s="7" t="str">
        <f aca="true">IF(M213="Opposition","Ne pas contacter",IF(AND(U213&lt;&gt;"",U213&lt;=TODAY()),"Relance 1 à envoyer",IF(AND(V213&lt;&gt;"",V213&lt;=TODAY()),"Relance 2 à envoyer",IF(AND(O213&lt;&gt;"",O213&lt;=TODAY()),"Rappel à faire",""))))</f>
        <v/>
      </c>
    </row>
    <row r="214" customFormat="false" ht="15" hidden="false" customHeight="false" outlineLevel="0" collapsed="false">
      <c r="A214" s="7" t="n">
        <v>213</v>
      </c>
      <c r="B214" s="8"/>
      <c r="C214" s="8"/>
      <c r="D214" s="7"/>
      <c r="E214" s="7"/>
      <c r="F214" s="8"/>
      <c r="G214" s="7"/>
      <c r="H214" s="7"/>
      <c r="I214" s="8"/>
      <c r="J214" s="9"/>
      <c r="K214" s="9"/>
      <c r="L214" s="7"/>
      <c r="M214" s="7"/>
      <c r="N214" s="8"/>
      <c r="O214" s="9"/>
      <c r="P214" s="9"/>
      <c r="Q214" s="9"/>
      <c r="R214" s="9"/>
      <c r="S214" s="8"/>
      <c r="T214" s="9" t="str">
        <f aca="false">IF(J214="","",EDATE(MAX(J214,K214,P214,Q214,R214),36))</f>
        <v/>
      </c>
      <c r="U214" s="9" t="str">
        <f aca="false">IF(OR(L214&lt;&gt;"Email",K214="",P214&lt;&gt;"",M214="Opposition",M214="Pas intéressé",M214="Client",M214="Rendez-vous pris",M214="Numéro erroné"),"",WORKDAY(K214,5))</f>
        <v/>
      </c>
      <c r="V214" s="9" t="str">
        <f aca="false">IF(OR(P214="",Q214&lt;&gt;"",M214="Opposition",M214="Pas intéressé",M214="Client",M214="Rendez-vous pris",M214="Numéro erroné"),"",WORKDAY(P214,7))</f>
        <v/>
      </c>
      <c r="W214" s="7" t="str">
        <f aca="true">IF(M214="Opposition","Ne pas contacter",IF(AND(U214&lt;&gt;"",U214&lt;=TODAY()),"Relance 1 à envoyer",IF(AND(V214&lt;&gt;"",V214&lt;=TODAY()),"Relance 2 à envoyer",IF(AND(O214&lt;&gt;"",O214&lt;=TODAY()),"Rappel à faire",""))))</f>
        <v/>
      </c>
    </row>
    <row r="215" customFormat="false" ht="15" hidden="false" customHeight="false" outlineLevel="0" collapsed="false">
      <c r="A215" s="7" t="n">
        <v>214</v>
      </c>
      <c r="B215" s="8"/>
      <c r="C215" s="8"/>
      <c r="D215" s="7"/>
      <c r="E215" s="7"/>
      <c r="F215" s="8"/>
      <c r="G215" s="7"/>
      <c r="H215" s="7"/>
      <c r="I215" s="8"/>
      <c r="J215" s="9"/>
      <c r="K215" s="9"/>
      <c r="L215" s="7"/>
      <c r="M215" s="7"/>
      <c r="N215" s="8"/>
      <c r="O215" s="9"/>
      <c r="P215" s="9"/>
      <c r="Q215" s="9"/>
      <c r="R215" s="9"/>
      <c r="S215" s="8"/>
      <c r="T215" s="9" t="str">
        <f aca="false">IF(J215="","",EDATE(MAX(J215,K215,P215,Q215,R215),36))</f>
        <v/>
      </c>
      <c r="U215" s="9" t="str">
        <f aca="false">IF(OR(L215&lt;&gt;"Email",K215="",P215&lt;&gt;"",M215="Opposition",M215="Pas intéressé",M215="Client",M215="Rendez-vous pris",M215="Numéro erroné"),"",WORKDAY(K215,5))</f>
        <v/>
      </c>
      <c r="V215" s="9" t="str">
        <f aca="false">IF(OR(P215="",Q215&lt;&gt;"",M215="Opposition",M215="Pas intéressé",M215="Client",M215="Rendez-vous pris",M215="Numéro erroné"),"",WORKDAY(P215,7))</f>
        <v/>
      </c>
      <c r="W215" s="7" t="str">
        <f aca="true">IF(M215="Opposition","Ne pas contacter",IF(AND(U215&lt;&gt;"",U215&lt;=TODAY()),"Relance 1 à envoyer",IF(AND(V215&lt;&gt;"",V215&lt;=TODAY()),"Relance 2 à envoyer",IF(AND(O215&lt;&gt;"",O215&lt;=TODAY()),"Rappel à faire",""))))</f>
        <v/>
      </c>
    </row>
    <row r="216" customFormat="false" ht="15" hidden="false" customHeight="false" outlineLevel="0" collapsed="false">
      <c r="A216" s="7" t="n">
        <v>215</v>
      </c>
      <c r="B216" s="8"/>
      <c r="C216" s="8"/>
      <c r="D216" s="7"/>
      <c r="E216" s="7"/>
      <c r="F216" s="8"/>
      <c r="G216" s="7"/>
      <c r="H216" s="7"/>
      <c r="I216" s="8"/>
      <c r="J216" s="9"/>
      <c r="K216" s="9"/>
      <c r="L216" s="7"/>
      <c r="M216" s="7"/>
      <c r="N216" s="8"/>
      <c r="O216" s="9"/>
      <c r="P216" s="9"/>
      <c r="Q216" s="9"/>
      <c r="R216" s="9"/>
      <c r="S216" s="8"/>
      <c r="T216" s="9" t="str">
        <f aca="false">IF(J216="","",EDATE(MAX(J216,K216,P216,Q216,R216),36))</f>
        <v/>
      </c>
      <c r="U216" s="9" t="str">
        <f aca="false">IF(OR(L216&lt;&gt;"Email",K216="",P216&lt;&gt;"",M216="Opposition",M216="Pas intéressé",M216="Client",M216="Rendez-vous pris",M216="Numéro erroné"),"",WORKDAY(K216,5))</f>
        <v/>
      </c>
      <c r="V216" s="9" t="str">
        <f aca="false">IF(OR(P216="",Q216&lt;&gt;"",M216="Opposition",M216="Pas intéressé",M216="Client",M216="Rendez-vous pris",M216="Numéro erroné"),"",WORKDAY(P216,7))</f>
        <v/>
      </c>
      <c r="W216" s="7" t="str">
        <f aca="true">IF(M216="Opposition","Ne pas contacter",IF(AND(U216&lt;&gt;"",U216&lt;=TODAY()),"Relance 1 à envoyer",IF(AND(V216&lt;&gt;"",V216&lt;=TODAY()),"Relance 2 à envoyer",IF(AND(O216&lt;&gt;"",O216&lt;=TODAY()),"Rappel à faire",""))))</f>
        <v/>
      </c>
    </row>
    <row r="217" customFormat="false" ht="15" hidden="false" customHeight="false" outlineLevel="0" collapsed="false">
      <c r="A217" s="7" t="n">
        <v>216</v>
      </c>
      <c r="B217" s="8"/>
      <c r="C217" s="8"/>
      <c r="D217" s="7"/>
      <c r="E217" s="7"/>
      <c r="F217" s="8"/>
      <c r="G217" s="7"/>
      <c r="H217" s="7"/>
      <c r="I217" s="8"/>
      <c r="J217" s="9"/>
      <c r="K217" s="9"/>
      <c r="L217" s="7"/>
      <c r="M217" s="7"/>
      <c r="N217" s="8"/>
      <c r="O217" s="9"/>
      <c r="P217" s="9"/>
      <c r="Q217" s="9"/>
      <c r="R217" s="9"/>
      <c r="S217" s="8"/>
      <c r="T217" s="9" t="str">
        <f aca="false">IF(J217="","",EDATE(MAX(J217,K217,P217,Q217,R217),36))</f>
        <v/>
      </c>
      <c r="U217" s="9" t="str">
        <f aca="false">IF(OR(L217&lt;&gt;"Email",K217="",P217&lt;&gt;"",M217="Opposition",M217="Pas intéressé",M217="Client",M217="Rendez-vous pris",M217="Numéro erroné"),"",WORKDAY(K217,5))</f>
        <v/>
      </c>
      <c r="V217" s="9" t="str">
        <f aca="false">IF(OR(P217="",Q217&lt;&gt;"",M217="Opposition",M217="Pas intéressé",M217="Client",M217="Rendez-vous pris",M217="Numéro erroné"),"",WORKDAY(P217,7))</f>
        <v/>
      </c>
      <c r="W217" s="7" t="str">
        <f aca="true">IF(M217="Opposition","Ne pas contacter",IF(AND(U217&lt;&gt;"",U217&lt;=TODAY()),"Relance 1 à envoyer",IF(AND(V217&lt;&gt;"",V217&lt;=TODAY()),"Relance 2 à envoyer",IF(AND(O217&lt;&gt;"",O217&lt;=TODAY()),"Rappel à faire",""))))</f>
        <v/>
      </c>
    </row>
    <row r="218" customFormat="false" ht="15" hidden="false" customHeight="false" outlineLevel="0" collapsed="false">
      <c r="A218" s="7" t="n">
        <v>217</v>
      </c>
      <c r="B218" s="8"/>
      <c r="C218" s="8"/>
      <c r="D218" s="7"/>
      <c r="E218" s="7"/>
      <c r="F218" s="8"/>
      <c r="G218" s="7"/>
      <c r="H218" s="7"/>
      <c r="I218" s="8"/>
      <c r="J218" s="9"/>
      <c r="K218" s="9"/>
      <c r="L218" s="7"/>
      <c r="M218" s="7"/>
      <c r="N218" s="8"/>
      <c r="O218" s="9"/>
      <c r="P218" s="9"/>
      <c r="Q218" s="9"/>
      <c r="R218" s="9"/>
      <c r="S218" s="8"/>
      <c r="T218" s="9" t="str">
        <f aca="false">IF(J218="","",EDATE(MAX(J218,K218,P218,Q218,R218),36))</f>
        <v/>
      </c>
      <c r="U218" s="9" t="str">
        <f aca="false">IF(OR(L218&lt;&gt;"Email",K218="",P218&lt;&gt;"",M218="Opposition",M218="Pas intéressé",M218="Client",M218="Rendez-vous pris",M218="Numéro erroné"),"",WORKDAY(K218,5))</f>
        <v/>
      </c>
      <c r="V218" s="9" t="str">
        <f aca="false">IF(OR(P218="",Q218&lt;&gt;"",M218="Opposition",M218="Pas intéressé",M218="Client",M218="Rendez-vous pris",M218="Numéro erroné"),"",WORKDAY(P218,7))</f>
        <v/>
      </c>
      <c r="W218" s="7" t="str">
        <f aca="true">IF(M218="Opposition","Ne pas contacter",IF(AND(U218&lt;&gt;"",U218&lt;=TODAY()),"Relance 1 à envoyer",IF(AND(V218&lt;&gt;"",V218&lt;=TODAY()),"Relance 2 à envoyer",IF(AND(O218&lt;&gt;"",O218&lt;=TODAY()),"Rappel à faire",""))))</f>
        <v/>
      </c>
    </row>
    <row r="219" customFormat="false" ht="15" hidden="false" customHeight="false" outlineLevel="0" collapsed="false">
      <c r="A219" s="7" t="n">
        <v>218</v>
      </c>
      <c r="B219" s="8"/>
      <c r="C219" s="8"/>
      <c r="D219" s="7"/>
      <c r="E219" s="7"/>
      <c r="F219" s="8"/>
      <c r="G219" s="7"/>
      <c r="H219" s="7"/>
      <c r="I219" s="8"/>
      <c r="J219" s="9"/>
      <c r="K219" s="9"/>
      <c r="L219" s="7"/>
      <c r="M219" s="7"/>
      <c r="N219" s="8"/>
      <c r="O219" s="9"/>
      <c r="P219" s="9"/>
      <c r="Q219" s="9"/>
      <c r="R219" s="9"/>
      <c r="S219" s="8"/>
      <c r="T219" s="9" t="str">
        <f aca="false">IF(J219="","",EDATE(MAX(J219,K219,P219,Q219,R219),36))</f>
        <v/>
      </c>
      <c r="U219" s="9" t="str">
        <f aca="false">IF(OR(L219&lt;&gt;"Email",K219="",P219&lt;&gt;"",M219="Opposition",M219="Pas intéressé",M219="Client",M219="Rendez-vous pris",M219="Numéro erroné"),"",WORKDAY(K219,5))</f>
        <v/>
      </c>
      <c r="V219" s="9" t="str">
        <f aca="false">IF(OR(P219="",Q219&lt;&gt;"",M219="Opposition",M219="Pas intéressé",M219="Client",M219="Rendez-vous pris",M219="Numéro erroné"),"",WORKDAY(P219,7))</f>
        <v/>
      </c>
      <c r="W219" s="7" t="str">
        <f aca="true">IF(M219="Opposition","Ne pas contacter",IF(AND(U219&lt;&gt;"",U219&lt;=TODAY()),"Relance 1 à envoyer",IF(AND(V219&lt;&gt;"",V219&lt;=TODAY()),"Relance 2 à envoyer",IF(AND(O219&lt;&gt;"",O219&lt;=TODAY()),"Rappel à faire",""))))</f>
        <v/>
      </c>
    </row>
    <row r="220" customFormat="false" ht="15" hidden="false" customHeight="false" outlineLevel="0" collapsed="false">
      <c r="A220" s="7" t="n">
        <v>219</v>
      </c>
      <c r="B220" s="8"/>
      <c r="C220" s="8"/>
      <c r="D220" s="7"/>
      <c r="E220" s="7"/>
      <c r="F220" s="8"/>
      <c r="G220" s="7"/>
      <c r="H220" s="7"/>
      <c r="I220" s="8"/>
      <c r="J220" s="9"/>
      <c r="K220" s="9"/>
      <c r="L220" s="7"/>
      <c r="M220" s="7"/>
      <c r="N220" s="8"/>
      <c r="O220" s="9"/>
      <c r="P220" s="9"/>
      <c r="Q220" s="9"/>
      <c r="R220" s="9"/>
      <c r="S220" s="8"/>
      <c r="T220" s="9" t="str">
        <f aca="false">IF(J220="","",EDATE(MAX(J220,K220,P220,Q220,R220),36))</f>
        <v/>
      </c>
      <c r="U220" s="9" t="str">
        <f aca="false">IF(OR(L220&lt;&gt;"Email",K220="",P220&lt;&gt;"",M220="Opposition",M220="Pas intéressé",M220="Client",M220="Rendez-vous pris",M220="Numéro erroné"),"",WORKDAY(K220,5))</f>
        <v/>
      </c>
      <c r="V220" s="9" t="str">
        <f aca="false">IF(OR(P220="",Q220&lt;&gt;"",M220="Opposition",M220="Pas intéressé",M220="Client",M220="Rendez-vous pris",M220="Numéro erroné"),"",WORKDAY(P220,7))</f>
        <v/>
      </c>
      <c r="W220" s="7" t="str">
        <f aca="true">IF(M220="Opposition","Ne pas contacter",IF(AND(U220&lt;&gt;"",U220&lt;=TODAY()),"Relance 1 à envoyer",IF(AND(V220&lt;&gt;"",V220&lt;=TODAY()),"Relance 2 à envoyer",IF(AND(O220&lt;&gt;"",O220&lt;=TODAY()),"Rappel à faire",""))))</f>
        <v/>
      </c>
    </row>
    <row r="221" customFormat="false" ht="15" hidden="false" customHeight="false" outlineLevel="0" collapsed="false">
      <c r="A221" s="7" t="n">
        <v>220</v>
      </c>
      <c r="B221" s="8"/>
      <c r="C221" s="8"/>
      <c r="D221" s="7"/>
      <c r="E221" s="7"/>
      <c r="F221" s="8"/>
      <c r="G221" s="7"/>
      <c r="H221" s="7"/>
      <c r="I221" s="8"/>
      <c r="J221" s="9"/>
      <c r="K221" s="9"/>
      <c r="L221" s="7"/>
      <c r="M221" s="7"/>
      <c r="N221" s="8"/>
      <c r="O221" s="9"/>
      <c r="P221" s="9"/>
      <c r="Q221" s="9"/>
      <c r="R221" s="9"/>
      <c r="S221" s="8"/>
      <c r="T221" s="9" t="str">
        <f aca="false">IF(J221="","",EDATE(MAX(J221,K221,P221,Q221,R221),36))</f>
        <v/>
      </c>
      <c r="U221" s="9" t="str">
        <f aca="false">IF(OR(L221&lt;&gt;"Email",K221="",P221&lt;&gt;"",M221="Opposition",M221="Pas intéressé",M221="Client",M221="Rendez-vous pris",M221="Numéro erroné"),"",WORKDAY(K221,5))</f>
        <v/>
      </c>
      <c r="V221" s="9" t="str">
        <f aca="false">IF(OR(P221="",Q221&lt;&gt;"",M221="Opposition",M221="Pas intéressé",M221="Client",M221="Rendez-vous pris",M221="Numéro erroné"),"",WORKDAY(P221,7))</f>
        <v/>
      </c>
      <c r="W221" s="7" t="str">
        <f aca="true">IF(M221="Opposition","Ne pas contacter",IF(AND(U221&lt;&gt;"",U221&lt;=TODAY()),"Relance 1 à envoyer",IF(AND(V221&lt;&gt;"",V221&lt;=TODAY()),"Relance 2 à envoyer",IF(AND(O221&lt;&gt;"",O221&lt;=TODAY()),"Rappel à faire",""))))</f>
        <v/>
      </c>
    </row>
    <row r="222" customFormat="false" ht="15" hidden="false" customHeight="false" outlineLevel="0" collapsed="false">
      <c r="A222" s="7" t="n">
        <v>221</v>
      </c>
      <c r="B222" s="8"/>
      <c r="C222" s="8"/>
      <c r="D222" s="7"/>
      <c r="E222" s="7"/>
      <c r="F222" s="8"/>
      <c r="G222" s="7"/>
      <c r="H222" s="7"/>
      <c r="I222" s="8"/>
      <c r="J222" s="9"/>
      <c r="K222" s="9"/>
      <c r="L222" s="7"/>
      <c r="M222" s="7"/>
      <c r="N222" s="8"/>
      <c r="O222" s="9"/>
      <c r="P222" s="9"/>
      <c r="Q222" s="9"/>
      <c r="R222" s="9"/>
      <c r="S222" s="8"/>
      <c r="T222" s="9" t="str">
        <f aca="false">IF(J222="","",EDATE(MAX(J222,K222,P222,Q222,R222),36))</f>
        <v/>
      </c>
      <c r="U222" s="9" t="str">
        <f aca="false">IF(OR(L222&lt;&gt;"Email",K222="",P222&lt;&gt;"",M222="Opposition",M222="Pas intéressé",M222="Client",M222="Rendez-vous pris",M222="Numéro erroné"),"",WORKDAY(K222,5))</f>
        <v/>
      </c>
      <c r="V222" s="9" t="str">
        <f aca="false">IF(OR(P222="",Q222&lt;&gt;"",M222="Opposition",M222="Pas intéressé",M222="Client",M222="Rendez-vous pris",M222="Numéro erroné"),"",WORKDAY(P222,7))</f>
        <v/>
      </c>
      <c r="W222" s="7" t="str">
        <f aca="true">IF(M222="Opposition","Ne pas contacter",IF(AND(U222&lt;&gt;"",U222&lt;=TODAY()),"Relance 1 à envoyer",IF(AND(V222&lt;&gt;"",V222&lt;=TODAY()),"Relance 2 à envoyer",IF(AND(O222&lt;&gt;"",O222&lt;=TODAY()),"Rappel à faire",""))))</f>
        <v/>
      </c>
    </row>
    <row r="223" customFormat="false" ht="15" hidden="false" customHeight="false" outlineLevel="0" collapsed="false">
      <c r="A223" s="7" t="n">
        <v>222</v>
      </c>
      <c r="B223" s="8"/>
      <c r="C223" s="8"/>
      <c r="D223" s="7"/>
      <c r="E223" s="7"/>
      <c r="F223" s="8"/>
      <c r="G223" s="7"/>
      <c r="H223" s="7"/>
      <c r="I223" s="8"/>
      <c r="J223" s="9"/>
      <c r="K223" s="9"/>
      <c r="L223" s="7"/>
      <c r="M223" s="7"/>
      <c r="N223" s="8"/>
      <c r="O223" s="9"/>
      <c r="P223" s="9"/>
      <c r="Q223" s="9"/>
      <c r="R223" s="9"/>
      <c r="S223" s="8"/>
      <c r="T223" s="9" t="str">
        <f aca="false">IF(J223="","",EDATE(MAX(J223,K223,P223,Q223,R223),36))</f>
        <v/>
      </c>
      <c r="U223" s="9" t="str">
        <f aca="false">IF(OR(L223&lt;&gt;"Email",K223="",P223&lt;&gt;"",M223="Opposition",M223="Pas intéressé",M223="Client",M223="Rendez-vous pris",M223="Numéro erroné"),"",WORKDAY(K223,5))</f>
        <v/>
      </c>
      <c r="V223" s="9" t="str">
        <f aca="false">IF(OR(P223="",Q223&lt;&gt;"",M223="Opposition",M223="Pas intéressé",M223="Client",M223="Rendez-vous pris",M223="Numéro erroné"),"",WORKDAY(P223,7))</f>
        <v/>
      </c>
      <c r="W223" s="7" t="str">
        <f aca="true">IF(M223="Opposition","Ne pas contacter",IF(AND(U223&lt;&gt;"",U223&lt;=TODAY()),"Relance 1 à envoyer",IF(AND(V223&lt;&gt;"",V223&lt;=TODAY()),"Relance 2 à envoyer",IF(AND(O223&lt;&gt;"",O223&lt;=TODAY()),"Rappel à faire",""))))</f>
        <v/>
      </c>
    </row>
    <row r="224" customFormat="false" ht="15" hidden="false" customHeight="false" outlineLevel="0" collapsed="false">
      <c r="A224" s="7" t="n">
        <v>223</v>
      </c>
      <c r="B224" s="8"/>
      <c r="C224" s="8"/>
      <c r="D224" s="7"/>
      <c r="E224" s="7"/>
      <c r="F224" s="8"/>
      <c r="G224" s="7"/>
      <c r="H224" s="7"/>
      <c r="I224" s="8"/>
      <c r="J224" s="9"/>
      <c r="K224" s="9"/>
      <c r="L224" s="7"/>
      <c r="M224" s="7"/>
      <c r="N224" s="8"/>
      <c r="O224" s="9"/>
      <c r="P224" s="9"/>
      <c r="Q224" s="9"/>
      <c r="R224" s="9"/>
      <c r="S224" s="8"/>
      <c r="T224" s="9" t="str">
        <f aca="false">IF(J224="","",EDATE(MAX(J224,K224,P224,Q224,R224),36))</f>
        <v/>
      </c>
      <c r="U224" s="9" t="str">
        <f aca="false">IF(OR(L224&lt;&gt;"Email",K224="",P224&lt;&gt;"",M224="Opposition",M224="Pas intéressé",M224="Client",M224="Rendez-vous pris",M224="Numéro erroné"),"",WORKDAY(K224,5))</f>
        <v/>
      </c>
      <c r="V224" s="9" t="str">
        <f aca="false">IF(OR(P224="",Q224&lt;&gt;"",M224="Opposition",M224="Pas intéressé",M224="Client",M224="Rendez-vous pris",M224="Numéro erroné"),"",WORKDAY(P224,7))</f>
        <v/>
      </c>
      <c r="W224" s="7" t="str">
        <f aca="true">IF(M224="Opposition","Ne pas contacter",IF(AND(U224&lt;&gt;"",U224&lt;=TODAY()),"Relance 1 à envoyer",IF(AND(V224&lt;&gt;"",V224&lt;=TODAY()),"Relance 2 à envoyer",IF(AND(O224&lt;&gt;"",O224&lt;=TODAY()),"Rappel à faire",""))))</f>
        <v/>
      </c>
    </row>
    <row r="225" customFormat="false" ht="15" hidden="false" customHeight="false" outlineLevel="0" collapsed="false">
      <c r="A225" s="7" t="n">
        <v>224</v>
      </c>
      <c r="B225" s="8"/>
      <c r="C225" s="8"/>
      <c r="D225" s="7"/>
      <c r="E225" s="7"/>
      <c r="F225" s="8"/>
      <c r="G225" s="7"/>
      <c r="H225" s="7"/>
      <c r="I225" s="8"/>
      <c r="J225" s="9"/>
      <c r="K225" s="9"/>
      <c r="L225" s="7"/>
      <c r="M225" s="7"/>
      <c r="N225" s="8"/>
      <c r="O225" s="9"/>
      <c r="P225" s="9"/>
      <c r="Q225" s="9"/>
      <c r="R225" s="9"/>
      <c r="S225" s="8"/>
      <c r="T225" s="9" t="str">
        <f aca="false">IF(J225="","",EDATE(MAX(J225,K225,P225,Q225,R225),36))</f>
        <v/>
      </c>
      <c r="U225" s="9" t="str">
        <f aca="false">IF(OR(L225&lt;&gt;"Email",K225="",P225&lt;&gt;"",M225="Opposition",M225="Pas intéressé",M225="Client",M225="Rendez-vous pris",M225="Numéro erroné"),"",WORKDAY(K225,5))</f>
        <v/>
      </c>
      <c r="V225" s="9" t="str">
        <f aca="false">IF(OR(P225="",Q225&lt;&gt;"",M225="Opposition",M225="Pas intéressé",M225="Client",M225="Rendez-vous pris",M225="Numéro erroné"),"",WORKDAY(P225,7))</f>
        <v/>
      </c>
      <c r="W225" s="7" t="str">
        <f aca="true">IF(M225="Opposition","Ne pas contacter",IF(AND(U225&lt;&gt;"",U225&lt;=TODAY()),"Relance 1 à envoyer",IF(AND(V225&lt;&gt;"",V225&lt;=TODAY()),"Relance 2 à envoyer",IF(AND(O225&lt;&gt;"",O225&lt;=TODAY()),"Rappel à faire",""))))</f>
        <v/>
      </c>
    </row>
    <row r="226" customFormat="false" ht="15" hidden="false" customHeight="false" outlineLevel="0" collapsed="false">
      <c r="A226" s="7" t="n">
        <v>225</v>
      </c>
      <c r="B226" s="8"/>
      <c r="C226" s="8"/>
      <c r="D226" s="7"/>
      <c r="E226" s="7"/>
      <c r="F226" s="8"/>
      <c r="G226" s="7"/>
      <c r="H226" s="7"/>
      <c r="I226" s="8"/>
      <c r="J226" s="9"/>
      <c r="K226" s="9"/>
      <c r="L226" s="7"/>
      <c r="M226" s="7"/>
      <c r="N226" s="8"/>
      <c r="O226" s="9"/>
      <c r="P226" s="9"/>
      <c r="Q226" s="9"/>
      <c r="R226" s="9"/>
      <c r="S226" s="8"/>
      <c r="T226" s="9" t="str">
        <f aca="false">IF(J226="","",EDATE(MAX(J226,K226,P226,Q226,R226),36))</f>
        <v/>
      </c>
      <c r="U226" s="9" t="str">
        <f aca="false">IF(OR(L226&lt;&gt;"Email",K226="",P226&lt;&gt;"",M226="Opposition",M226="Pas intéressé",M226="Client",M226="Rendez-vous pris",M226="Numéro erroné"),"",WORKDAY(K226,5))</f>
        <v/>
      </c>
      <c r="V226" s="9" t="str">
        <f aca="false">IF(OR(P226="",Q226&lt;&gt;"",M226="Opposition",M226="Pas intéressé",M226="Client",M226="Rendez-vous pris",M226="Numéro erroné"),"",WORKDAY(P226,7))</f>
        <v/>
      </c>
      <c r="W226" s="7" t="str">
        <f aca="true">IF(M226="Opposition","Ne pas contacter",IF(AND(U226&lt;&gt;"",U226&lt;=TODAY()),"Relance 1 à envoyer",IF(AND(V226&lt;&gt;"",V226&lt;=TODAY()),"Relance 2 à envoyer",IF(AND(O226&lt;&gt;"",O226&lt;=TODAY()),"Rappel à faire",""))))</f>
        <v/>
      </c>
    </row>
    <row r="227" customFormat="false" ht="15" hidden="false" customHeight="false" outlineLevel="0" collapsed="false">
      <c r="A227" s="7" t="n">
        <v>226</v>
      </c>
      <c r="B227" s="8"/>
      <c r="C227" s="8"/>
      <c r="D227" s="7"/>
      <c r="E227" s="7"/>
      <c r="F227" s="8"/>
      <c r="G227" s="7"/>
      <c r="H227" s="7"/>
      <c r="I227" s="8"/>
      <c r="J227" s="9"/>
      <c r="K227" s="9"/>
      <c r="L227" s="7"/>
      <c r="M227" s="7"/>
      <c r="N227" s="8"/>
      <c r="O227" s="9"/>
      <c r="P227" s="9"/>
      <c r="Q227" s="9"/>
      <c r="R227" s="9"/>
      <c r="S227" s="8"/>
      <c r="T227" s="9" t="str">
        <f aca="false">IF(J227="","",EDATE(MAX(J227,K227,P227,Q227,R227),36))</f>
        <v/>
      </c>
      <c r="U227" s="9" t="str">
        <f aca="false">IF(OR(L227&lt;&gt;"Email",K227="",P227&lt;&gt;"",M227="Opposition",M227="Pas intéressé",M227="Client",M227="Rendez-vous pris",M227="Numéro erroné"),"",WORKDAY(K227,5))</f>
        <v/>
      </c>
      <c r="V227" s="9" t="str">
        <f aca="false">IF(OR(P227="",Q227&lt;&gt;"",M227="Opposition",M227="Pas intéressé",M227="Client",M227="Rendez-vous pris",M227="Numéro erroné"),"",WORKDAY(P227,7))</f>
        <v/>
      </c>
      <c r="W227" s="7" t="str">
        <f aca="true">IF(M227="Opposition","Ne pas contacter",IF(AND(U227&lt;&gt;"",U227&lt;=TODAY()),"Relance 1 à envoyer",IF(AND(V227&lt;&gt;"",V227&lt;=TODAY()),"Relance 2 à envoyer",IF(AND(O227&lt;&gt;"",O227&lt;=TODAY()),"Rappel à faire",""))))</f>
        <v/>
      </c>
    </row>
    <row r="228" customFormat="false" ht="15" hidden="false" customHeight="false" outlineLevel="0" collapsed="false">
      <c r="A228" s="7" t="n">
        <v>227</v>
      </c>
      <c r="B228" s="8"/>
      <c r="C228" s="8"/>
      <c r="D228" s="7"/>
      <c r="E228" s="7"/>
      <c r="F228" s="8"/>
      <c r="G228" s="7"/>
      <c r="H228" s="7"/>
      <c r="I228" s="8"/>
      <c r="J228" s="9"/>
      <c r="K228" s="9"/>
      <c r="L228" s="7"/>
      <c r="M228" s="7"/>
      <c r="N228" s="8"/>
      <c r="O228" s="9"/>
      <c r="P228" s="9"/>
      <c r="Q228" s="9"/>
      <c r="R228" s="9"/>
      <c r="S228" s="8"/>
      <c r="T228" s="9" t="str">
        <f aca="false">IF(J228="","",EDATE(MAX(J228,K228,P228,Q228,R228),36))</f>
        <v/>
      </c>
      <c r="U228" s="9" t="str">
        <f aca="false">IF(OR(L228&lt;&gt;"Email",K228="",P228&lt;&gt;"",M228="Opposition",M228="Pas intéressé",M228="Client",M228="Rendez-vous pris",M228="Numéro erroné"),"",WORKDAY(K228,5))</f>
        <v/>
      </c>
      <c r="V228" s="9" t="str">
        <f aca="false">IF(OR(P228="",Q228&lt;&gt;"",M228="Opposition",M228="Pas intéressé",M228="Client",M228="Rendez-vous pris",M228="Numéro erroné"),"",WORKDAY(P228,7))</f>
        <v/>
      </c>
      <c r="W228" s="7" t="str">
        <f aca="true">IF(M228="Opposition","Ne pas contacter",IF(AND(U228&lt;&gt;"",U228&lt;=TODAY()),"Relance 1 à envoyer",IF(AND(V228&lt;&gt;"",V228&lt;=TODAY()),"Relance 2 à envoyer",IF(AND(O228&lt;&gt;"",O228&lt;=TODAY()),"Rappel à faire",""))))</f>
        <v/>
      </c>
    </row>
    <row r="229" customFormat="false" ht="15" hidden="false" customHeight="false" outlineLevel="0" collapsed="false">
      <c r="A229" s="7" t="n">
        <v>228</v>
      </c>
      <c r="B229" s="8"/>
      <c r="C229" s="8"/>
      <c r="D229" s="7"/>
      <c r="E229" s="7"/>
      <c r="F229" s="8"/>
      <c r="G229" s="7"/>
      <c r="H229" s="7"/>
      <c r="I229" s="8"/>
      <c r="J229" s="9"/>
      <c r="K229" s="9"/>
      <c r="L229" s="7"/>
      <c r="M229" s="7"/>
      <c r="N229" s="8"/>
      <c r="O229" s="9"/>
      <c r="P229" s="9"/>
      <c r="Q229" s="9"/>
      <c r="R229" s="9"/>
      <c r="S229" s="8"/>
      <c r="T229" s="9" t="str">
        <f aca="false">IF(J229="","",EDATE(MAX(J229,K229,P229,Q229,R229),36))</f>
        <v/>
      </c>
      <c r="U229" s="9" t="str">
        <f aca="false">IF(OR(L229&lt;&gt;"Email",K229="",P229&lt;&gt;"",M229="Opposition",M229="Pas intéressé",M229="Client",M229="Rendez-vous pris",M229="Numéro erroné"),"",WORKDAY(K229,5))</f>
        <v/>
      </c>
      <c r="V229" s="9" t="str">
        <f aca="false">IF(OR(P229="",Q229&lt;&gt;"",M229="Opposition",M229="Pas intéressé",M229="Client",M229="Rendez-vous pris",M229="Numéro erroné"),"",WORKDAY(P229,7))</f>
        <v/>
      </c>
      <c r="W229" s="7" t="str">
        <f aca="true">IF(M229="Opposition","Ne pas contacter",IF(AND(U229&lt;&gt;"",U229&lt;=TODAY()),"Relance 1 à envoyer",IF(AND(V229&lt;&gt;"",V229&lt;=TODAY()),"Relance 2 à envoyer",IF(AND(O229&lt;&gt;"",O229&lt;=TODAY()),"Rappel à faire",""))))</f>
        <v/>
      </c>
    </row>
    <row r="230" customFormat="false" ht="15" hidden="false" customHeight="false" outlineLevel="0" collapsed="false">
      <c r="A230" s="7" t="n">
        <v>229</v>
      </c>
      <c r="B230" s="8"/>
      <c r="C230" s="8"/>
      <c r="D230" s="7"/>
      <c r="E230" s="7"/>
      <c r="F230" s="8"/>
      <c r="G230" s="7"/>
      <c r="H230" s="7"/>
      <c r="I230" s="8"/>
      <c r="J230" s="9"/>
      <c r="K230" s="9"/>
      <c r="L230" s="7"/>
      <c r="M230" s="7"/>
      <c r="N230" s="8"/>
      <c r="O230" s="9"/>
      <c r="P230" s="9"/>
      <c r="Q230" s="9"/>
      <c r="R230" s="9"/>
      <c r="S230" s="8"/>
      <c r="T230" s="9" t="str">
        <f aca="false">IF(J230="","",EDATE(MAX(J230,K230,P230,Q230,R230),36))</f>
        <v/>
      </c>
      <c r="U230" s="9" t="str">
        <f aca="false">IF(OR(L230&lt;&gt;"Email",K230="",P230&lt;&gt;"",M230="Opposition",M230="Pas intéressé",M230="Client",M230="Rendez-vous pris",M230="Numéro erroné"),"",WORKDAY(K230,5))</f>
        <v/>
      </c>
      <c r="V230" s="9" t="str">
        <f aca="false">IF(OR(P230="",Q230&lt;&gt;"",M230="Opposition",M230="Pas intéressé",M230="Client",M230="Rendez-vous pris",M230="Numéro erroné"),"",WORKDAY(P230,7))</f>
        <v/>
      </c>
      <c r="W230" s="7" t="str">
        <f aca="true">IF(M230="Opposition","Ne pas contacter",IF(AND(U230&lt;&gt;"",U230&lt;=TODAY()),"Relance 1 à envoyer",IF(AND(V230&lt;&gt;"",V230&lt;=TODAY()),"Relance 2 à envoyer",IF(AND(O230&lt;&gt;"",O230&lt;=TODAY()),"Rappel à faire",""))))</f>
        <v/>
      </c>
    </row>
    <row r="231" customFormat="false" ht="15" hidden="false" customHeight="false" outlineLevel="0" collapsed="false">
      <c r="A231" s="7" t="n">
        <v>230</v>
      </c>
      <c r="B231" s="8"/>
      <c r="C231" s="8"/>
      <c r="D231" s="7"/>
      <c r="E231" s="7"/>
      <c r="F231" s="8"/>
      <c r="G231" s="7"/>
      <c r="H231" s="7"/>
      <c r="I231" s="8"/>
      <c r="J231" s="9"/>
      <c r="K231" s="9"/>
      <c r="L231" s="7"/>
      <c r="M231" s="7"/>
      <c r="N231" s="8"/>
      <c r="O231" s="9"/>
      <c r="P231" s="9"/>
      <c r="Q231" s="9"/>
      <c r="R231" s="9"/>
      <c r="S231" s="8"/>
      <c r="T231" s="9" t="str">
        <f aca="false">IF(J231="","",EDATE(MAX(J231,K231,P231,Q231,R231),36))</f>
        <v/>
      </c>
      <c r="U231" s="9" t="str">
        <f aca="false">IF(OR(L231&lt;&gt;"Email",K231="",P231&lt;&gt;"",M231="Opposition",M231="Pas intéressé",M231="Client",M231="Rendez-vous pris",M231="Numéro erroné"),"",WORKDAY(K231,5))</f>
        <v/>
      </c>
      <c r="V231" s="9" t="str">
        <f aca="false">IF(OR(P231="",Q231&lt;&gt;"",M231="Opposition",M231="Pas intéressé",M231="Client",M231="Rendez-vous pris",M231="Numéro erroné"),"",WORKDAY(P231,7))</f>
        <v/>
      </c>
      <c r="W231" s="7" t="str">
        <f aca="true">IF(M231="Opposition","Ne pas contacter",IF(AND(U231&lt;&gt;"",U231&lt;=TODAY()),"Relance 1 à envoyer",IF(AND(V231&lt;&gt;"",V231&lt;=TODAY()),"Relance 2 à envoyer",IF(AND(O231&lt;&gt;"",O231&lt;=TODAY()),"Rappel à faire",""))))</f>
        <v/>
      </c>
    </row>
    <row r="232" customFormat="false" ht="15" hidden="false" customHeight="false" outlineLevel="0" collapsed="false">
      <c r="A232" s="7" t="n">
        <v>231</v>
      </c>
      <c r="B232" s="8"/>
      <c r="C232" s="8"/>
      <c r="D232" s="7"/>
      <c r="E232" s="7"/>
      <c r="F232" s="8"/>
      <c r="G232" s="7"/>
      <c r="H232" s="7"/>
      <c r="I232" s="8"/>
      <c r="J232" s="9"/>
      <c r="K232" s="9"/>
      <c r="L232" s="7"/>
      <c r="M232" s="7"/>
      <c r="N232" s="8"/>
      <c r="O232" s="9"/>
      <c r="P232" s="9"/>
      <c r="Q232" s="9"/>
      <c r="R232" s="9"/>
      <c r="S232" s="8"/>
      <c r="T232" s="9" t="str">
        <f aca="false">IF(J232="","",EDATE(MAX(J232,K232,P232,Q232,R232),36))</f>
        <v/>
      </c>
      <c r="U232" s="9" t="str">
        <f aca="false">IF(OR(L232&lt;&gt;"Email",K232="",P232&lt;&gt;"",M232="Opposition",M232="Pas intéressé",M232="Client",M232="Rendez-vous pris",M232="Numéro erroné"),"",WORKDAY(K232,5))</f>
        <v/>
      </c>
      <c r="V232" s="9" t="str">
        <f aca="false">IF(OR(P232="",Q232&lt;&gt;"",M232="Opposition",M232="Pas intéressé",M232="Client",M232="Rendez-vous pris",M232="Numéro erroné"),"",WORKDAY(P232,7))</f>
        <v/>
      </c>
      <c r="W232" s="7" t="str">
        <f aca="true">IF(M232="Opposition","Ne pas contacter",IF(AND(U232&lt;&gt;"",U232&lt;=TODAY()),"Relance 1 à envoyer",IF(AND(V232&lt;&gt;"",V232&lt;=TODAY()),"Relance 2 à envoyer",IF(AND(O232&lt;&gt;"",O232&lt;=TODAY()),"Rappel à faire",""))))</f>
        <v/>
      </c>
    </row>
    <row r="233" customFormat="false" ht="15" hidden="false" customHeight="false" outlineLevel="0" collapsed="false">
      <c r="A233" s="7" t="n">
        <v>232</v>
      </c>
      <c r="B233" s="8"/>
      <c r="C233" s="8"/>
      <c r="D233" s="7"/>
      <c r="E233" s="7"/>
      <c r="F233" s="8"/>
      <c r="G233" s="7"/>
      <c r="H233" s="7"/>
      <c r="I233" s="8"/>
      <c r="J233" s="9"/>
      <c r="K233" s="9"/>
      <c r="L233" s="7"/>
      <c r="M233" s="7"/>
      <c r="N233" s="8"/>
      <c r="O233" s="9"/>
      <c r="P233" s="9"/>
      <c r="Q233" s="9"/>
      <c r="R233" s="9"/>
      <c r="S233" s="8"/>
      <c r="T233" s="9" t="str">
        <f aca="false">IF(J233="","",EDATE(MAX(J233,K233,P233,Q233,R233),36))</f>
        <v/>
      </c>
      <c r="U233" s="9" t="str">
        <f aca="false">IF(OR(L233&lt;&gt;"Email",K233="",P233&lt;&gt;"",M233="Opposition",M233="Pas intéressé",M233="Client",M233="Rendez-vous pris",M233="Numéro erroné"),"",WORKDAY(K233,5))</f>
        <v/>
      </c>
      <c r="V233" s="9" t="str">
        <f aca="false">IF(OR(P233="",Q233&lt;&gt;"",M233="Opposition",M233="Pas intéressé",M233="Client",M233="Rendez-vous pris",M233="Numéro erroné"),"",WORKDAY(P233,7))</f>
        <v/>
      </c>
      <c r="W233" s="7" t="str">
        <f aca="true">IF(M233="Opposition","Ne pas contacter",IF(AND(U233&lt;&gt;"",U233&lt;=TODAY()),"Relance 1 à envoyer",IF(AND(V233&lt;&gt;"",V233&lt;=TODAY()),"Relance 2 à envoyer",IF(AND(O233&lt;&gt;"",O233&lt;=TODAY()),"Rappel à faire",""))))</f>
        <v/>
      </c>
    </row>
    <row r="234" customFormat="false" ht="15" hidden="false" customHeight="false" outlineLevel="0" collapsed="false">
      <c r="A234" s="7" t="n">
        <v>233</v>
      </c>
      <c r="B234" s="8"/>
      <c r="C234" s="8"/>
      <c r="D234" s="7"/>
      <c r="E234" s="7"/>
      <c r="F234" s="8"/>
      <c r="G234" s="7"/>
      <c r="H234" s="7"/>
      <c r="I234" s="8"/>
      <c r="J234" s="9"/>
      <c r="K234" s="9"/>
      <c r="L234" s="7"/>
      <c r="M234" s="7"/>
      <c r="N234" s="8"/>
      <c r="O234" s="9"/>
      <c r="P234" s="9"/>
      <c r="Q234" s="9"/>
      <c r="R234" s="9"/>
      <c r="S234" s="8"/>
      <c r="T234" s="9" t="str">
        <f aca="false">IF(J234="","",EDATE(MAX(J234,K234,P234,Q234,R234),36))</f>
        <v/>
      </c>
      <c r="U234" s="9" t="str">
        <f aca="false">IF(OR(L234&lt;&gt;"Email",K234="",P234&lt;&gt;"",M234="Opposition",M234="Pas intéressé",M234="Client",M234="Rendez-vous pris",M234="Numéro erroné"),"",WORKDAY(K234,5))</f>
        <v/>
      </c>
      <c r="V234" s="9" t="str">
        <f aca="false">IF(OR(P234="",Q234&lt;&gt;"",M234="Opposition",M234="Pas intéressé",M234="Client",M234="Rendez-vous pris",M234="Numéro erroné"),"",WORKDAY(P234,7))</f>
        <v/>
      </c>
      <c r="W234" s="7" t="str">
        <f aca="true">IF(M234="Opposition","Ne pas contacter",IF(AND(U234&lt;&gt;"",U234&lt;=TODAY()),"Relance 1 à envoyer",IF(AND(V234&lt;&gt;"",V234&lt;=TODAY()),"Relance 2 à envoyer",IF(AND(O234&lt;&gt;"",O234&lt;=TODAY()),"Rappel à faire",""))))</f>
        <v/>
      </c>
    </row>
    <row r="235" customFormat="false" ht="15" hidden="false" customHeight="false" outlineLevel="0" collapsed="false">
      <c r="A235" s="7" t="n">
        <v>234</v>
      </c>
      <c r="B235" s="8"/>
      <c r="C235" s="8"/>
      <c r="D235" s="7"/>
      <c r="E235" s="7"/>
      <c r="F235" s="8"/>
      <c r="G235" s="7"/>
      <c r="H235" s="7"/>
      <c r="I235" s="8"/>
      <c r="J235" s="9"/>
      <c r="K235" s="9"/>
      <c r="L235" s="7"/>
      <c r="M235" s="7"/>
      <c r="N235" s="8"/>
      <c r="O235" s="9"/>
      <c r="P235" s="9"/>
      <c r="Q235" s="9"/>
      <c r="R235" s="9"/>
      <c r="S235" s="8"/>
      <c r="T235" s="9" t="str">
        <f aca="false">IF(J235="","",EDATE(MAX(J235,K235,P235,Q235,R235),36))</f>
        <v/>
      </c>
      <c r="U235" s="9" t="str">
        <f aca="false">IF(OR(L235&lt;&gt;"Email",K235="",P235&lt;&gt;"",M235="Opposition",M235="Pas intéressé",M235="Client",M235="Rendez-vous pris",M235="Numéro erroné"),"",WORKDAY(K235,5))</f>
        <v/>
      </c>
      <c r="V235" s="9" t="str">
        <f aca="false">IF(OR(P235="",Q235&lt;&gt;"",M235="Opposition",M235="Pas intéressé",M235="Client",M235="Rendez-vous pris",M235="Numéro erroné"),"",WORKDAY(P235,7))</f>
        <v/>
      </c>
      <c r="W235" s="7" t="str">
        <f aca="true">IF(M235="Opposition","Ne pas contacter",IF(AND(U235&lt;&gt;"",U235&lt;=TODAY()),"Relance 1 à envoyer",IF(AND(V235&lt;&gt;"",V235&lt;=TODAY()),"Relance 2 à envoyer",IF(AND(O235&lt;&gt;"",O235&lt;=TODAY()),"Rappel à faire",""))))</f>
        <v/>
      </c>
    </row>
    <row r="236" customFormat="false" ht="15" hidden="false" customHeight="false" outlineLevel="0" collapsed="false">
      <c r="A236" s="7" t="n">
        <v>235</v>
      </c>
      <c r="B236" s="8"/>
      <c r="C236" s="8"/>
      <c r="D236" s="7"/>
      <c r="E236" s="7"/>
      <c r="F236" s="8"/>
      <c r="G236" s="7"/>
      <c r="H236" s="7"/>
      <c r="I236" s="8"/>
      <c r="J236" s="9"/>
      <c r="K236" s="9"/>
      <c r="L236" s="7"/>
      <c r="M236" s="7"/>
      <c r="N236" s="8"/>
      <c r="O236" s="9"/>
      <c r="P236" s="9"/>
      <c r="Q236" s="9"/>
      <c r="R236" s="9"/>
      <c r="S236" s="8"/>
      <c r="T236" s="9" t="str">
        <f aca="false">IF(J236="","",EDATE(MAX(J236,K236,P236,Q236,R236),36))</f>
        <v/>
      </c>
      <c r="U236" s="9" t="str">
        <f aca="false">IF(OR(L236&lt;&gt;"Email",K236="",P236&lt;&gt;"",M236="Opposition",M236="Pas intéressé",M236="Client",M236="Rendez-vous pris",M236="Numéro erroné"),"",WORKDAY(K236,5))</f>
        <v/>
      </c>
      <c r="V236" s="9" t="str">
        <f aca="false">IF(OR(P236="",Q236&lt;&gt;"",M236="Opposition",M236="Pas intéressé",M236="Client",M236="Rendez-vous pris",M236="Numéro erroné"),"",WORKDAY(P236,7))</f>
        <v/>
      </c>
      <c r="W236" s="7" t="str">
        <f aca="true">IF(M236="Opposition","Ne pas contacter",IF(AND(U236&lt;&gt;"",U236&lt;=TODAY()),"Relance 1 à envoyer",IF(AND(V236&lt;&gt;"",V236&lt;=TODAY()),"Relance 2 à envoyer",IF(AND(O236&lt;&gt;"",O236&lt;=TODAY()),"Rappel à faire",""))))</f>
        <v/>
      </c>
    </row>
    <row r="237" customFormat="false" ht="15" hidden="false" customHeight="false" outlineLevel="0" collapsed="false">
      <c r="A237" s="7" t="n">
        <v>236</v>
      </c>
      <c r="B237" s="8"/>
      <c r="C237" s="8"/>
      <c r="D237" s="7"/>
      <c r="E237" s="7"/>
      <c r="F237" s="8"/>
      <c r="G237" s="7"/>
      <c r="H237" s="7"/>
      <c r="I237" s="8"/>
      <c r="J237" s="9"/>
      <c r="K237" s="9"/>
      <c r="L237" s="7"/>
      <c r="M237" s="7"/>
      <c r="N237" s="8"/>
      <c r="O237" s="9"/>
      <c r="P237" s="9"/>
      <c r="Q237" s="9"/>
      <c r="R237" s="9"/>
      <c r="S237" s="8"/>
      <c r="T237" s="9" t="str">
        <f aca="false">IF(J237="","",EDATE(MAX(J237,K237,P237,Q237,R237),36))</f>
        <v/>
      </c>
      <c r="U237" s="9" t="str">
        <f aca="false">IF(OR(L237&lt;&gt;"Email",K237="",P237&lt;&gt;"",M237="Opposition",M237="Pas intéressé",M237="Client",M237="Rendez-vous pris",M237="Numéro erroné"),"",WORKDAY(K237,5))</f>
        <v/>
      </c>
      <c r="V237" s="9" t="str">
        <f aca="false">IF(OR(P237="",Q237&lt;&gt;"",M237="Opposition",M237="Pas intéressé",M237="Client",M237="Rendez-vous pris",M237="Numéro erroné"),"",WORKDAY(P237,7))</f>
        <v/>
      </c>
      <c r="W237" s="7" t="str">
        <f aca="true">IF(M237="Opposition","Ne pas contacter",IF(AND(U237&lt;&gt;"",U237&lt;=TODAY()),"Relance 1 à envoyer",IF(AND(V237&lt;&gt;"",V237&lt;=TODAY()),"Relance 2 à envoyer",IF(AND(O237&lt;&gt;"",O237&lt;=TODAY()),"Rappel à faire",""))))</f>
        <v/>
      </c>
    </row>
    <row r="238" customFormat="false" ht="15" hidden="false" customHeight="false" outlineLevel="0" collapsed="false">
      <c r="A238" s="7" t="n">
        <v>237</v>
      </c>
      <c r="B238" s="8"/>
      <c r="C238" s="8"/>
      <c r="D238" s="7"/>
      <c r="E238" s="7"/>
      <c r="F238" s="8"/>
      <c r="G238" s="7"/>
      <c r="H238" s="7"/>
      <c r="I238" s="8"/>
      <c r="J238" s="9"/>
      <c r="K238" s="9"/>
      <c r="L238" s="7"/>
      <c r="M238" s="7"/>
      <c r="N238" s="8"/>
      <c r="O238" s="9"/>
      <c r="P238" s="9"/>
      <c r="Q238" s="9"/>
      <c r="R238" s="9"/>
      <c r="S238" s="8"/>
      <c r="T238" s="9" t="str">
        <f aca="false">IF(J238="","",EDATE(MAX(J238,K238,P238,Q238,R238),36))</f>
        <v/>
      </c>
      <c r="U238" s="9" t="str">
        <f aca="false">IF(OR(L238&lt;&gt;"Email",K238="",P238&lt;&gt;"",M238="Opposition",M238="Pas intéressé",M238="Client",M238="Rendez-vous pris",M238="Numéro erroné"),"",WORKDAY(K238,5))</f>
        <v/>
      </c>
      <c r="V238" s="9" t="str">
        <f aca="false">IF(OR(P238="",Q238&lt;&gt;"",M238="Opposition",M238="Pas intéressé",M238="Client",M238="Rendez-vous pris",M238="Numéro erroné"),"",WORKDAY(P238,7))</f>
        <v/>
      </c>
      <c r="W238" s="7" t="str">
        <f aca="true">IF(M238="Opposition","Ne pas contacter",IF(AND(U238&lt;&gt;"",U238&lt;=TODAY()),"Relance 1 à envoyer",IF(AND(V238&lt;&gt;"",V238&lt;=TODAY()),"Relance 2 à envoyer",IF(AND(O238&lt;&gt;"",O238&lt;=TODAY()),"Rappel à faire",""))))</f>
        <v/>
      </c>
    </row>
    <row r="239" customFormat="false" ht="15" hidden="false" customHeight="false" outlineLevel="0" collapsed="false">
      <c r="A239" s="7" t="n">
        <v>238</v>
      </c>
      <c r="B239" s="8"/>
      <c r="C239" s="8"/>
      <c r="D239" s="7"/>
      <c r="E239" s="7"/>
      <c r="F239" s="8"/>
      <c r="G239" s="7"/>
      <c r="H239" s="7"/>
      <c r="I239" s="8"/>
      <c r="J239" s="9"/>
      <c r="K239" s="9"/>
      <c r="L239" s="7"/>
      <c r="M239" s="7"/>
      <c r="N239" s="8"/>
      <c r="O239" s="9"/>
      <c r="P239" s="9"/>
      <c r="Q239" s="9"/>
      <c r="R239" s="9"/>
      <c r="S239" s="8"/>
      <c r="T239" s="9" t="str">
        <f aca="false">IF(J239="","",EDATE(MAX(J239,K239,P239,Q239,R239),36))</f>
        <v/>
      </c>
      <c r="U239" s="9" t="str">
        <f aca="false">IF(OR(L239&lt;&gt;"Email",K239="",P239&lt;&gt;"",M239="Opposition",M239="Pas intéressé",M239="Client",M239="Rendez-vous pris",M239="Numéro erroné"),"",WORKDAY(K239,5))</f>
        <v/>
      </c>
      <c r="V239" s="9" t="str">
        <f aca="false">IF(OR(P239="",Q239&lt;&gt;"",M239="Opposition",M239="Pas intéressé",M239="Client",M239="Rendez-vous pris",M239="Numéro erroné"),"",WORKDAY(P239,7))</f>
        <v/>
      </c>
      <c r="W239" s="7" t="str">
        <f aca="true">IF(M239="Opposition","Ne pas contacter",IF(AND(U239&lt;&gt;"",U239&lt;=TODAY()),"Relance 1 à envoyer",IF(AND(V239&lt;&gt;"",V239&lt;=TODAY()),"Relance 2 à envoyer",IF(AND(O239&lt;&gt;"",O239&lt;=TODAY()),"Rappel à faire",""))))</f>
        <v/>
      </c>
    </row>
    <row r="240" customFormat="false" ht="15" hidden="false" customHeight="false" outlineLevel="0" collapsed="false">
      <c r="A240" s="7" t="n">
        <v>239</v>
      </c>
      <c r="B240" s="8"/>
      <c r="C240" s="8"/>
      <c r="D240" s="7"/>
      <c r="E240" s="7"/>
      <c r="F240" s="8"/>
      <c r="G240" s="7"/>
      <c r="H240" s="7"/>
      <c r="I240" s="8"/>
      <c r="J240" s="9"/>
      <c r="K240" s="9"/>
      <c r="L240" s="7"/>
      <c r="M240" s="7"/>
      <c r="N240" s="8"/>
      <c r="O240" s="9"/>
      <c r="P240" s="9"/>
      <c r="Q240" s="9"/>
      <c r="R240" s="9"/>
      <c r="S240" s="8"/>
      <c r="T240" s="9" t="str">
        <f aca="false">IF(J240="","",EDATE(MAX(J240,K240,P240,Q240,R240),36))</f>
        <v/>
      </c>
      <c r="U240" s="9" t="str">
        <f aca="false">IF(OR(L240&lt;&gt;"Email",K240="",P240&lt;&gt;"",M240="Opposition",M240="Pas intéressé",M240="Client",M240="Rendez-vous pris",M240="Numéro erroné"),"",WORKDAY(K240,5))</f>
        <v/>
      </c>
      <c r="V240" s="9" t="str">
        <f aca="false">IF(OR(P240="",Q240&lt;&gt;"",M240="Opposition",M240="Pas intéressé",M240="Client",M240="Rendez-vous pris",M240="Numéro erroné"),"",WORKDAY(P240,7))</f>
        <v/>
      </c>
      <c r="W240" s="7" t="str">
        <f aca="true">IF(M240="Opposition","Ne pas contacter",IF(AND(U240&lt;&gt;"",U240&lt;=TODAY()),"Relance 1 à envoyer",IF(AND(V240&lt;&gt;"",V240&lt;=TODAY()),"Relance 2 à envoyer",IF(AND(O240&lt;&gt;"",O240&lt;=TODAY()),"Rappel à faire",""))))</f>
        <v/>
      </c>
    </row>
    <row r="241" customFormat="false" ht="15" hidden="false" customHeight="false" outlineLevel="0" collapsed="false">
      <c r="A241" s="7" t="n">
        <v>240</v>
      </c>
      <c r="B241" s="8"/>
      <c r="C241" s="8"/>
      <c r="D241" s="7"/>
      <c r="E241" s="7"/>
      <c r="F241" s="8"/>
      <c r="G241" s="7"/>
      <c r="H241" s="7"/>
      <c r="I241" s="8"/>
      <c r="J241" s="9"/>
      <c r="K241" s="9"/>
      <c r="L241" s="7"/>
      <c r="M241" s="7"/>
      <c r="N241" s="8"/>
      <c r="O241" s="9"/>
      <c r="P241" s="9"/>
      <c r="Q241" s="9"/>
      <c r="R241" s="9"/>
      <c r="S241" s="8"/>
      <c r="T241" s="9" t="str">
        <f aca="false">IF(J241="","",EDATE(MAX(J241,K241,P241,Q241,R241),36))</f>
        <v/>
      </c>
      <c r="U241" s="9" t="str">
        <f aca="false">IF(OR(L241&lt;&gt;"Email",K241="",P241&lt;&gt;"",M241="Opposition",M241="Pas intéressé",M241="Client",M241="Rendez-vous pris",M241="Numéro erroné"),"",WORKDAY(K241,5))</f>
        <v/>
      </c>
      <c r="V241" s="9" t="str">
        <f aca="false">IF(OR(P241="",Q241&lt;&gt;"",M241="Opposition",M241="Pas intéressé",M241="Client",M241="Rendez-vous pris",M241="Numéro erroné"),"",WORKDAY(P241,7))</f>
        <v/>
      </c>
      <c r="W241" s="7" t="str">
        <f aca="true">IF(M241="Opposition","Ne pas contacter",IF(AND(U241&lt;&gt;"",U241&lt;=TODAY()),"Relance 1 à envoyer",IF(AND(V241&lt;&gt;"",V241&lt;=TODAY()),"Relance 2 à envoyer",IF(AND(O241&lt;&gt;"",O241&lt;=TODAY()),"Rappel à faire",""))))</f>
        <v/>
      </c>
    </row>
    <row r="242" customFormat="false" ht="15" hidden="false" customHeight="false" outlineLevel="0" collapsed="false">
      <c r="A242" s="7" t="n">
        <v>241</v>
      </c>
      <c r="B242" s="8"/>
      <c r="C242" s="8"/>
      <c r="D242" s="7"/>
      <c r="E242" s="7"/>
      <c r="F242" s="8"/>
      <c r="G242" s="7"/>
      <c r="H242" s="7"/>
      <c r="I242" s="8"/>
      <c r="J242" s="9"/>
      <c r="K242" s="9"/>
      <c r="L242" s="7"/>
      <c r="M242" s="7"/>
      <c r="N242" s="8"/>
      <c r="O242" s="9"/>
      <c r="P242" s="9"/>
      <c r="Q242" s="9"/>
      <c r="R242" s="9"/>
      <c r="S242" s="8"/>
      <c r="T242" s="9" t="str">
        <f aca="false">IF(J242="","",EDATE(MAX(J242,K242,P242,Q242,R242),36))</f>
        <v/>
      </c>
      <c r="U242" s="9" t="str">
        <f aca="false">IF(OR(L242&lt;&gt;"Email",K242="",P242&lt;&gt;"",M242="Opposition",M242="Pas intéressé",M242="Client",M242="Rendez-vous pris",M242="Numéro erroné"),"",WORKDAY(K242,5))</f>
        <v/>
      </c>
      <c r="V242" s="9" t="str">
        <f aca="false">IF(OR(P242="",Q242&lt;&gt;"",M242="Opposition",M242="Pas intéressé",M242="Client",M242="Rendez-vous pris",M242="Numéro erroné"),"",WORKDAY(P242,7))</f>
        <v/>
      </c>
      <c r="W242" s="7" t="str">
        <f aca="true">IF(M242="Opposition","Ne pas contacter",IF(AND(U242&lt;&gt;"",U242&lt;=TODAY()),"Relance 1 à envoyer",IF(AND(V242&lt;&gt;"",V242&lt;=TODAY()),"Relance 2 à envoyer",IF(AND(O242&lt;&gt;"",O242&lt;=TODAY()),"Rappel à faire",""))))</f>
        <v/>
      </c>
    </row>
    <row r="243" customFormat="false" ht="15" hidden="false" customHeight="false" outlineLevel="0" collapsed="false">
      <c r="A243" s="7" t="n">
        <v>242</v>
      </c>
      <c r="B243" s="8"/>
      <c r="C243" s="8"/>
      <c r="D243" s="7"/>
      <c r="E243" s="7"/>
      <c r="F243" s="8"/>
      <c r="G243" s="7"/>
      <c r="H243" s="7"/>
      <c r="I243" s="8"/>
      <c r="J243" s="9"/>
      <c r="K243" s="9"/>
      <c r="L243" s="7"/>
      <c r="M243" s="7"/>
      <c r="N243" s="8"/>
      <c r="O243" s="9"/>
      <c r="P243" s="9"/>
      <c r="Q243" s="9"/>
      <c r="R243" s="9"/>
      <c r="S243" s="8"/>
      <c r="T243" s="9" t="str">
        <f aca="false">IF(J243="","",EDATE(MAX(J243,K243,P243,Q243,R243),36))</f>
        <v/>
      </c>
      <c r="U243" s="9" t="str">
        <f aca="false">IF(OR(L243&lt;&gt;"Email",K243="",P243&lt;&gt;"",M243="Opposition",M243="Pas intéressé",M243="Client",M243="Rendez-vous pris",M243="Numéro erroné"),"",WORKDAY(K243,5))</f>
        <v/>
      </c>
      <c r="V243" s="9" t="str">
        <f aca="false">IF(OR(P243="",Q243&lt;&gt;"",M243="Opposition",M243="Pas intéressé",M243="Client",M243="Rendez-vous pris",M243="Numéro erroné"),"",WORKDAY(P243,7))</f>
        <v/>
      </c>
      <c r="W243" s="7" t="str">
        <f aca="true">IF(M243="Opposition","Ne pas contacter",IF(AND(U243&lt;&gt;"",U243&lt;=TODAY()),"Relance 1 à envoyer",IF(AND(V243&lt;&gt;"",V243&lt;=TODAY()),"Relance 2 à envoyer",IF(AND(O243&lt;&gt;"",O243&lt;=TODAY()),"Rappel à faire",""))))</f>
        <v/>
      </c>
    </row>
    <row r="244" customFormat="false" ht="15" hidden="false" customHeight="false" outlineLevel="0" collapsed="false">
      <c r="A244" s="7" t="n">
        <v>243</v>
      </c>
      <c r="B244" s="8"/>
      <c r="C244" s="8"/>
      <c r="D244" s="7"/>
      <c r="E244" s="7"/>
      <c r="F244" s="8"/>
      <c r="G244" s="7"/>
      <c r="H244" s="7"/>
      <c r="I244" s="8"/>
      <c r="J244" s="9"/>
      <c r="K244" s="9"/>
      <c r="L244" s="7"/>
      <c r="M244" s="7"/>
      <c r="N244" s="8"/>
      <c r="O244" s="9"/>
      <c r="P244" s="9"/>
      <c r="Q244" s="9"/>
      <c r="R244" s="9"/>
      <c r="S244" s="8"/>
      <c r="T244" s="9" t="str">
        <f aca="false">IF(J244="","",EDATE(MAX(J244,K244,P244,Q244,R244),36))</f>
        <v/>
      </c>
      <c r="U244" s="9" t="str">
        <f aca="false">IF(OR(L244&lt;&gt;"Email",K244="",P244&lt;&gt;"",M244="Opposition",M244="Pas intéressé",M244="Client",M244="Rendez-vous pris",M244="Numéro erroné"),"",WORKDAY(K244,5))</f>
        <v/>
      </c>
      <c r="V244" s="9" t="str">
        <f aca="false">IF(OR(P244="",Q244&lt;&gt;"",M244="Opposition",M244="Pas intéressé",M244="Client",M244="Rendez-vous pris",M244="Numéro erroné"),"",WORKDAY(P244,7))</f>
        <v/>
      </c>
      <c r="W244" s="7" t="str">
        <f aca="true">IF(M244="Opposition","Ne pas contacter",IF(AND(U244&lt;&gt;"",U244&lt;=TODAY()),"Relance 1 à envoyer",IF(AND(V244&lt;&gt;"",V244&lt;=TODAY()),"Relance 2 à envoyer",IF(AND(O244&lt;&gt;"",O244&lt;=TODAY()),"Rappel à faire",""))))</f>
        <v/>
      </c>
    </row>
    <row r="245" customFormat="false" ht="15" hidden="false" customHeight="false" outlineLevel="0" collapsed="false">
      <c r="A245" s="7" t="n">
        <v>244</v>
      </c>
      <c r="B245" s="8"/>
      <c r="C245" s="8"/>
      <c r="D245" s="7"/>
      <c r="E245" s="7"/>
      <c r="F245" s="8"/>
      <c r="G245" s="7"/>
      <c r="H245" s="7"/>
      <c r="I245" s="8"/>
      <c r="J245" s="9"/>
      <c r="K245" s="9"/>
      <c r="L245" s="7"/>
      <c r="M245" s="7"/>
      <c r="N245" s="8"/>
      <c r="O245" s="9"/>
      <c r="P245" s="9"/>
      <c r="Q245" s="9"/>
      <c r="R245" s="9"/>
      <c r="S245" s="8"/>
      <c r="T245" s="9" t="str">
        <f aca="false">IF(J245="","",EDATE(MAX(J245,K245,P245,Q245,R245),36))</f>
        <v/>
      </c>
      <c r="U245" s="9" t="str">
        <f aca="false">IF(OR(L245&lt;&gt;"Email",K245="",P245&lt;&gt;"",M245="Opposition",M245="Pas intéressé",M245="Client",M245="Rendez-vous pris",M245="Numéro erroné"),"",WORKDAY(K245,5))</f>
        <v/>
      </c>
      <c r="V245" s="9" t="str">
        <f aca="false">IF(OR(P245="",Q245&lt;&gt;"",M245="Opposition",M245="Pas intéressé",M245="Client",M245="Rendez-vous pris",M245="Numéro erroné"),"",WORKDAY(P245,7))</f>
        <v/>
      </c>
      <c r="W245" s="7" t="str">
        <f aca="true">IF(M245="Opposition","Ne pas contacter",IF(AND(U245&lt;&gt;"",U245&lt;=TODAY()),"Relance 1 à envoyer",IF(AND(V245&lt;&gt;"",V245&lt;=TODAY()),"Relance 2 à envoyer",IF(AND(O245&lt;&gt;"",O245&lt;=TODAY()),"Rappel à faire",""))))</f>
        <v/>
      </c>
    </row>
    <row r="246" customFormat="false" ht="15" hidden="false" customHeight="false" outlineLevel="0" collapsed="false">
      <c r="A246" s="7" t="n">
        <v>245</v>
      </c>
      <c r="B246" s="8"/>
      <c r="C246" s="8"/>
      <c r="D246" s="7"/>
      <c r="E246" s="7"/>
      <c r="F246" s="8"/>
      <c r="G246" s="7"/>
      <c r="H246" s="7"/>
      <c r="I246" s="8"/>
      <c r="J246" s="9"/>
      <c r="K246" s="9"/>
      <c r="L246" s="7"/>
      <c r="M246" s="7"/>
      <c r="N246" s="8"/>
      <c r="O246" s="9"/>
      <c r="P246" s="9"/>
      <c r="Q246" s="9"/>
      <c r="R246" s="9"/>
      <c r="S246" s="8"/>
      <c r="T246" s="9" t="str">
        <f aca="false">IF(J246="","",EDATE(MAX(J246,K246,P246,Q246,R246),36))</f>
        <v/>
      </c>
      <c r="U246" s="9" t="str">
        <f aca="false">IF(OR(L246&lt;&gt;"Email",K246="",P246&lt;&gt;"",M246="Opposition",M246="Pas intéressé",M246="Client",M246="Rendez-vous pris",M246="Numéro erroné"),"",WORKDAY(K246,5))</f>
        <v/>
      </c>
      <c r="V246" s="9" t="str">
        <f aca="false">IF(OR(P246="",Q246&lt;&gt;"",M246="Opposition",M246="Pas intéressé",M246="Client",M246="Rendez-vous pris",M246="Numéro erroné"),"",WORKDAY(P246,7))</f>
        <v/>
      </c>
      <c r="W246" s="7" t="str">
        <f aca="true">IF(M246="Opposition","Ne pas contacter",IF(AND(U246&lt;&gt;"",U246&lt;=TODAY()),"Relance 1 à envoyer",IF(AND(V246&lt;&gt;"",V246&lt;=TODAY()),"Relance 2 à envoyer",IF(AND(O246&lt;&gt;"",O246&lt;=TODAY()),"Rappel à faire",""))))</f>
        <v/>
      </c>
    </row>
    <row r="247" customFormat="false" ht="15" hidden="false" customHeight="false" outlineLevel="0" collapsed="false">
      <c r="A247" s="7" t="n">
        <v>246</v>
      </c>
      <c r="B247" s="8"/>
      <c r="C247" s="8"/>
      <c r="D247" s="7"/>
      <c r="E247" s="7"/>
      <c r="F247" s="8"/>
      <c r="G247" s="7"/>
      <c r="H247" s="7"/>
      <c r="I247" s="8"/>
      <c r="J247" s="9"/>
      <c r="K247" s="9"/>
      <c r="L247" s="7"/>
      <c r="M247" s="7"/>
      <c r="N247" s="8"/>
      <c r="O247" s="9"/>
      <c r="P247" s="9"/>
      <c r="Q247" s="9"/>
      <c r="R247" s="9"/>
      <c r="S247" s="8"/>
      <c r="T247" s="9" t="str">
        <f aca="false">IF(J247="","",EDATE(MAX(J247,K247,P247,Q247,R247),36))</f>
        <v/>
      </c>
      <c r="U247" s="9" t="str">
        <f aca="false">IF(OR(L247&lt;&gt;"Email",K247="",P247&lt;&gt;"",M247="Opposition",M247="Pas intéressé",M247="Client",M247="Rendez-vous pris",M247="Numéro erroné"),"",WORKDAY(K247,5))</f>
        <v/>
      </c>
      <c r="V247" s="9" t="str">
        <f aca="false">IF(OR(P247="",Q247&lt;&gt;"",M247="Opposition",M247="Pas intéressé",M247="Client",M247="Rendez-vous pris",M247="Numéro erroné"),"",WORKDAY(P247,7))</f>
        <v/>
      </c>
      <c r="W247" s="7" t="str">
        <f aca="true">IF(M247="Opposition","Ne pas contacter",IF(AND(U247&lt;&gt;"",U247&lt;=TODAY()),"Relance 1 à envoyer",IF(AND(V247&lt;&gt;"",V247&lt;=TODAY()),"Relance 2 à envoyer",IF(AND(O247&lt;&gt;"",O247&lt;=TODAY()),"Rappel à faire",""))))</f>
        <v/>
      </c>
    </row>
    <row r="248" customFormat="false" ht="15" hidden="false" customHeight="false" outlineLevel="0" collapsed="false">
      <c r="A248" s="7" t="n">
        <v>247</v>
      </c>
      <c r="B248" s="8"/>
      <c r="C248" s="8"/>
      <c r="D248" s="7"/>
      <c r="E248" s="7"/>
      <c r="F248" s="8"/>
      <c r="G248" s="7"/>
      <c r="H248" s="7"/>
      <c r="I248" s="8"/>
      <c r="J248" s="9"/>
      <c r="K248" s="9"/>
      <c r="L248" s="7"/>
      <c r="M248" s="7"/>
      <c r="N248" s="8"/>
      <c r="O248" s="9"/>
      <c r="P248" s="9"/>
      <c r="Q248" s="9"/>
      <c r="R248" s="9"/>
      <c r="S248" s="8"/>
      <c r="T248" s="9" t="str">
        <f aca="false">IF(J248="","",EDATE(MAX(J248,K248,P248,Q248,R248),36))</f>
        <v/>
      </c>
      <c r="U248" s="9" t="str">
        <f aca="false">IF(OR(L248&lt;&gt;"Email",K248="",P248&lt;&gt;"",M248="Opposition",M248="Pas intéressé",M248="Client",M248="Rendez-vous pris",M248="Numéro erroné"),"",WORKDAY(K248,5))</f>
        <v/>
      </c>
      <c r="V248" s="9" t="str">
        <f aca="false">IF(OR(P248="",Q248&lt;&gt;"",M248="Opposition",M248="Pas intéressé",M248="Client",M248="Rendez-vous pris",M248="Numéro erroné"),"",WORKDAY(P248,7))</f>
        <v/>
      </c>
      <c r="W248" s="7" t="str">
        <f aca="true">IF(M248="Opposition","Ne pas contacter",IF(AND(U248&lt;&gt;"",U248&lt;=TODAY()),"Relance 1 à envoyer",IF(AND(V248&lt;&gt;"",V248&lt;=TODAY()),"Relance 2 à envoyer",IF(AND(O248&lt;&gt;"",O248&lt;=TODAY()),"Rappel à faire",""))))</f>
        <v/>
      </c>
    </row>
    <row r="249" customFormat="false" ht="15" hidden="false" customHeight="false" outlineLevel="0" collapsed="false">
      <c r="A249" s="7" t="n">
        <v>248</v>
      </c>
      <c r="B249" s="8"/>
      <c r="C249" s="8"/>
      <c r="D249" s="7"/>
      <c r="E249" s="7"/>
      <c r="F249" s="8"/>
      <c r="G249" s="7"/>
      <c r="H249" s="7"/>
      <c r="I249" s="8"/>
      <c r="J249" s="9"/>
      <c r="K249" s="9"/>
      <c r="L249" s="7"/>
      <c r="M249" s="7"/>
      <c r="N249" s="8"/>
      <c r="O249" s="9"/>
      <c r="P249" s="9"/>
      <c r="Q249" s="9"/>
      <c r="R249" s="9"/>
      <c r="S249" s="8"/>
      <c r="T249" s="9" t="str">
        <f aca="false">IF(J249="","",EDATE(MAX(J249,K249,P249,Q249,R249),36))</f>
        <v/>
      </c>
      <c r="U249" s="9" t="str">
        <f aca="false">IF(OR(L249&lt;&gt;"Email",K249="",P249&lt;&gt;"",M249="Opposition",M249="Pas intéressé",M249="Client",M249="Rendez-vous pris",M249="Numéro erroné"),"",WORKDAY(K249,5))</f>
        <v/>
      </c>
      <c r="V249" s="9" t="str">
        <f aca="false">IF(OR(P249="",Q249&lt;&gt;"",M249="Opposition",M249="Pas intéressé",M249="Client",M249="Rendez-vous pris",M249="Numéro erroné"),"",WORKDAY(P249,7))</f>
        <v/>
      </c>
      <c r="W249" s="7" t="str">
        <f aca="true">IF(M249="Opposition","Ne pas contacter",IF(AND(U249&lt;&gt;"",U249&lt;=TODAY()),"Relance 1 à envoyer",IF(AND(V249&lt;&gt;"",V249&lt;=TODAY()),"Relance 2 à envoyer",IF(AND(O249&lt;&gt;"",O249&lt;=TODAY()),"Rappel à faire",""))))</f>
        <v/>
      </c>
    </row>
    <row r="250" customFormat="false" ht="15" hidden="false" customHeight="false" outlineLevel="0" collapsed="false">
      <c r="A250" s="7" t="n">
        <v>249</v>
      </c>
      <c r="B250" s="8"/>
      <c r="C250" s="8"/>
      <c r="D250" s="7"/>
      <c r="E250" s="7"/>
      <c r="F250" s="8"/>
      <c r="G250" s="7"/>
      <c r="H250" s="7"/>
      <c r="I250" s="8"/>
      <c r="J250" s="9"/>
      <c r="K250" s="9"/>
      <c r="L250" s="7"/>
      <c r="M250" s="7"/>
      <c r="N250" s="8"/>
      <c r="O250" s="9"/>
      <c r="P250" s="9"/>
      <c r="Q250" s="9"/>
      <c r="R250" s="9"/>
      <c r="S250" s="8"/>
      <c r="T250" s="9" t="str">
        <f aca="false">IF(J250="","",EDATE(MAX(J250,K250,P250,Q250,R250),36))</f>
        <v/>
      </c>
      <c r="U250" s="9" t="str">
        <f aca="false">IF(OR(L250&lt;&gt;"Email",K250="",P250&lt;&gt;"",M250="Opposition",M250="Pas intéressé",M250="Client",M250="Rendez-vous pris",M250="Numéro erroné"),"",WORKDAY(K250,5))</f>
        <v/>
      </c>
      <c r="V250" s="9" t="str">
        <f aca="false">IF(OR(P250="",Q250&lt;&gt;"",M250="Opposition",M250="Pas intéressé",M250="Client",M250="Rendez-vous pris",M250="Numéro erroné"),"",WORKDAY(P250,7))</f>
        <v/>
      </c>
      <c r="W250" s="7" t="str">
        <f aca="true">IF(M250="Opposition","Ne pas contacter",IF(AND(U250&lt;&gt;"",U250&lt;=TODAY()),"Relance 1 à envoyer",IF(AND(V250&lt;&gt;"",V250&lt;=TODAY()),"Relance 2 à envoyer",IF(AND(O250&lt;&gt;"",O250&lt;=TODAY()),"Rappel à faire",""))))</f>
        <v/>
      </c>
    </row>
    <row r="251" customFormat="false" ht="15" hidden="false" customHeight="false" outlineLevel="0" collapsed="false">
      <c r="A251" s="7" t="n">
        <v>250</v>
      </c>
      <c r="B251" s="8"/>
      <c r="C251" s="8"/>
      <c r="D251" s="7"/>
      <c r="E251" s="7"/>
      <c r="F251" s="8"/>
      <c r="G251" s="7"/>
      <c r="H251" s="7"/>
      <c r="I251" s="8"/>
      <c r="J251" s="9"/>
      <c r="K251" s="9"/>
      <c r="L251" s="7"/>
      <c r="M251" s="7"/>
      <c r="N251" s="8"/>
      <c r="O251" s="9"/>
      <c r="P251" s="9"/>
      <c r="Q251" s="9"/>
      <c r="R251" s="9"/>
      <c r="S251" s="8"/>
      <c r="T251" s="9" t="str">
        <f aca="false">IF(J251="","",EDATE(MAX(J251,K251,P251,Q251,R251),36))</f>
        <v/>
      </c>
      <c r="U251" s="9" t="str">
        <f aca="false">IF(OR(L251&lt;&gt;"Email",K251="",P251&lt;&gt;"",M251="Opposition",M251="Pas intéressé",M251="Client",M251="Rendez-vous pris",M251="Numéro erroné"),"",WORKDAY(K251,5))</f>
        <v/>
      </c>
      <c r="V251" s="9" t="str">
        <f aca="false">IF(OR(P251="",Q251&lt;&gt;"",M251="Opposition",M251="Pas intéressé",M251="Client",M251="Rendez-vous pris",M251="Numéro erroné"),"",WORKDAY(P251,7))</f>
        <v/>
      </c>
      <c r="W251" s="7" t="str">
        <f aca="true">IF(M251="Opposition","Ne pas contacter",IF(AND(U251&lt;&gt;"",U251&lt;=TODAY()),"Relance 1 à envoyer",IF(AND(V251&lt;&gt;"",V251&lt;=TODAY()),"Relance 2 à envoyer",IF(AND(O251&lt;&gt;"",O251&lt;=TODAY()),"Rappel à faire",""))))</f>
        <v/>
      </c>
    </row>
    <row r="252" customFormat="false" ht="15" hidden="false" customHeight="false" outlineLevel="0" collapsed="false">
      <c r="A252" s="7" t="n">
        <v>251</v>
      </c>
      <c r="B252" s="8"/>
      <c r="C252" s="8"/>
      <c r="D252" s="7"/>
      <c r="E252" s="7"/>
      <c r="F252" s="8"/>
      <c r="G252" s="7"/>
      <c r="H252" s="7"/>
      <c r="I252" s="8"/>
      <c r="J252" s="9"/>
      <c r="K252" s="9"/>
      <c r="L252" s="7"/>
      <c r="M252" s="7"/>
      <c r="N252" s="8"/>
      <c r="O252" s="9"/>
      <c r="P252" s="9"/>
      <c r="Q252" s="9"/>
      <c r="R252" s="9"/>
      <c r="S252" s="8"/>
      <c r="T252" s="9" t="str">
        <f aca="false">IF(J252="","",EDATE(MAX(J252,K252,P252,Q252,R252),36))</f>
        <v/>
      </c>
      <c r="U252" s="9" t="str">
        <f aca="false">IF(OR(L252&lt;&gt;"Email",K252="",P252&lt;&gt;"",M252="Opposition",M252="Pas intéressé",M252="Client",M252="Rendez-vous pris",M252="Numéro erroné"),"",WORKDAY(K252,5))</f>
        <v/>
      </c>
      <c r="V252" s="9" t="str">
        <f aca="false">IF(OR(P252="",Q252&lt;&gt;"",M252="Opposition",M252="Pas intéressé",M252="Client",M252="Rendez-vous pris",M252="Numéro erroné"),"",WORKDAY(P252,7))</f>
        <v/>
      </c>
      <c r="W252" s="7" t="str">
        <f aca="true">IF(M252="Opposition","Ne pas contacter",IF(AND(U252&lt;&gt;"",U252&lt;=TODAY()),"Relance 1 à envoyer",IF(AND(V252&lt;&gt;"",V252&lt;=TODAY()),"Relance 2 à envoyer",IF(AND(O252&lt;&gt;"",O252&lt;=TODAY()),"Rappel à faire",""))))</f>
        <v/>
      </c>
    </row>
    <row r="253" customFormat="false" ht="15" hidden="false" customHeight="false" outlineLevel="0" collapsed="false">
      <c r="A253" s="7" t="n">
        <v>252</v>
      </c>
      <c r="B253" s="8"/>
      <c r="C253" s="8"/>
      <c r="D253" s="7"/>
      <c r="E253" s="7"/>
      <c r="F253" s="8"/>
      <c r="G253" s="7"/>
      <c r="H253" s="7"/>
      <c r="I253" s="8"/>
      <c r="J253" s="9"/>
      <c r="K253" s="9"/>
      <c r="L253" s="7"/>
      <c r="M253" s="7"/>
      <c r="N253" s="8"/>
      <c r="O253" s="9"/>
      <c r="P253" s="9"/>
      <c r="Q253" s="9"/>
      <c r="R253" s="9"/>
      <c r="S253" s="8"/>
      <c r="T253" s="9" t="str">
        <f aca="false">IF(J253="","",EDATE(MAX(J253,K253,P253,Q253,R253),36))</f>
        <v/>
      </c>
      <c r="U253" s="9" t="str">
        <f aca="false">IF(OR(L253&lt;&gt;"Email",K253="",P253&lt;&gt;"",M253="Opposition",M253="Pas intéressé",M253="Client",M253="Rendez-vous pris",M253="Numéro erroné"),"",WORKDAY(K253,5))</f>
        <v/>
      </c>
      <c r="V253" s="9" t="str">
        <f aca="false">IF(OR(P253="",Q253&lt;&gt;"",M253="Opposition",M253="Pas intéressé",M253="Client",M253="Rendez-vous pris",M253="Numéro erroné"),"",WORKDAY(P253,7))</f>
        <v/>
      </c>
      <c r="W253" s="7" t="str">
        <f aca="true">IF(M253="Opposition","Ne pas contacter",IF(AND(U253&lt;&gt;"",U253&lt;=TODAY()),"Relance 1 à envoyer",IF(AND(V253&lt;&gt;"",V253&lt;=TODAY()),"Relance 2 à envoyer",IF(AND(O253&lt;&gt;"",O253&lt;=TODAY()),"Rappel à faire",""))))</f>
        <v/>
      </c>
    </row>
    <row r="254" customFormat="false" ht="15" hidden="false" customHeight="false" outlineLevel="0" collapsed="false">
      <c r="A254" s="7" t="n">
        <v>253</v>
      </c>
      <c r="B254" s="8"/>
      <c r="C254" s="8"/>
      <c r="D254" s="7"/>
      <c r="E254" s="7"/>
      <c r="F254" s="8"/>
      <c r="G254" s="7"/>
      <c r="H254" s="7"/>
      <c r="I254" s="8"/>
      <c r="J254" s="9"/>
      <c r="K254" s="9"/>
      <c r="L254" s="7"/>
      <c r="M254" s="7"/>
      <c r="N254" s="8"/>
      <c r="O254" s="9"/>
      <c r="P254" s="9"/>
      <c r="Q254" s="9"/>
      <c r="R254" s="9"/>
      <c r="S254" s="8"/>
      <c r="T254" s="9" t="str">
        <f aca="false">IF(J254="","",EDATE(MAX(J254,K254,P254,Q254,R254),36))</f>
        <v/>
      </c>
      <c r="U254" s="9" t="str">
        <f aca="false">IF(OR(L254&lt;&gt;"Email",K254="",P254&lt;&gt;"",M254="Opposition",M254="Pas intéressé",M254="Client",M254="Rendez-vous pris",M254="Numéro erroné"),"",WORKDAY(K254,5))</f>
        <v/>
      </c>
      <c r="V254" s="9" t="str">
        <f aca="false">IF(OR(P254="",Q254&lt;&gt;"",M254="Opposition",M254="Pas intéressé",M254="Client",M254="Rendez-vous pris",M254="Numéro erroné"),"",WORKDAY(P254,7))</f>
        <v/>
      </c>
      <c r="W254" s="7" t="str">
        <f aca="true">IF(M254="Opposition","Ne pas contacter",IF(AND(U254&lt;&gt;"",U254&lt;=TODAY()),"Relance 1 à envoyer",IF(AND(V254&lt;&gt;"",V254&lt;=TODAY()),"Relance 2 à envoyer",IF(AND(O254&lt;&gt;"",O254&lt;=TODAY()),"Rappel à faire",""))))</f>
        <v/>
      </c>
    </row>
    <row r="255" customFormat="false" ht="15" hidden="false" customHeight="false" outlineLevel="0" collapsed="false">
      <c r="A255" s="7" t="n">
        <v>254</v>
      </c>
      <c r="B255" s="8"/>
      <c r="C255" s="8"/>
      <c r="D255" s="7"/>
      <c r="E255" s="7"/>
      <c r="F255" s="8"/>
      <c r="G255" s="7"/>
      <c r="H255" s="7"/>
      <c r="I255" s="8"/>
      <c r="J255" s="9"/>
      <c r="K255" s="9"/>
      <c r="L255" s="7"/>
      <c r="M255" s="7"/>
      <c r="N255" s="8"/>
      <c r="O255" s="9"/>
      <c r="P255" s="9"/>
      <c r="Q255" s="9"/>
      <c r="R255" s="9"/>
      <c r="S255" s="8"/>
      <c r="T255" s="9" t="str">
        <f aca="false">IF(J255="","",EDATE(MAX(J255,K255,P255,Q255,R255),36))</f>
        <v/>
      </c>
      <c r="U255" s="9" t="str">
        <f aca="false">IF(OR(L255&lt;&gt;"Email",K255="",P255&lt;&gt;"",M255="Opposition",M255="Pas intéressé",M255="Client",M255="Rendez-vous pris",M255="Numéro erroné"),"",WORKDAY(K255,5))</f>
        <v/>
      </c>
      <c r="V255" s="9" t="str">
        <f aca="false">IF(OR(P255="",Q255&lt;&gt;"",M255="Opposition",M255="Pas intéressé",M255="Client",M255="Rendez-vous pris",M255="Numéro erroné"),"",WORKDAY(P255,7))</f>
        <v/>
      </c>
      <c r="W255" s="7" t="str">
        <f aca="true">IF(M255="Opposition","Ne pas contacter",IF(AND(U255&lt;&gt;"",U255&lt;=TODAY()),"Relance 1 à envoyer",IF(AND(V255&lt;&gt;"",V255&lt;=TODAY()),"Relance 2 à envoyer",IF(AND(O255&lt;&gt;"",O255&lt;=TODAY()),"Rappel à faire",""))))</f>
        <v/>
      </c>
    </row>
    <row r="256" customFormat="false" ht="15" hidden="false" customHeight="false" outlineLevel="0" collapsed="false">
      <c r="A256" s="7" t="n">
        <v>255</v>
      </c>
      <c r="B256" s="8"/>
      <c r="C256" s="8"/>
      <c r="D256" s="7"/>
      <c r="E256" s="7"/>
      <c r="F256" s="8"/>
      <c r="G256" s="7"/>
      <c r="H256" s="7"/>
      <c r="I256" s="8"/>
      <c r="J256" s="9"/>
      <c r="K256" s="9"/>
      <c r="L256" s="7"/>
      <c r="M256" s="7"/>
      <c r="N256" s="8"/>
      <c r="O256" s="9"/>
      <c r="P256" s="9"/>
      <c r="Q256" s="9"/>
      <c r="R256" s="9"/>
      <c r="S256" s="8"/>
      <c r="T256" s="9" t="str">
        <f aca="false">IF(J256="","",EDATE(MAX(J256,K256,P256,Q256,R256),36))</f>
        <v/>
      </c>
      <c r="U256" s="9" t="str">
        <f aca="false">IF(OR(L256&lt;&gt;"Email",K256="",P256&lt;&gt;"",M256="Opposition",M256="Pas intéressé",M256="Client",M256="Rendez-vous pris",M256="Numéro erroné"),"",WORKDAY(K256,5))</f>
        <v/>
      </c>
      <c r="V256" s="9" t="str">
        <f aca="false">IF(OR(P256="",Q256&lt;&gt;"",M256="Opposition",M256="Pas intéressé",M256="Client",M256="Rendez-vous pris",M256="Numéro erroné"),"",WORKDAY(P256,7))</f>
        <v/>
      </c>
      <c r="W256" s="7" t="str">
        <f aca="true">IF(M256="Opposition","Ne pas contacter",IF(AND(U256&lt;&gt;"",U256&lt;=TODAY()),"Relance 1 à envoyer",IF(AND(V256&lt;&gt;"",V256&lt;=TODAY()),"Relance 2 à envoyer",IF(AND(O256&lt;&gt;"",O256&lt;=TODAY()),"Rappel à faire",""))))</f>
        <v/>
      </c>
    </row>
    <row r="257" customFormat="false" ht="15" hidden="false" customHeight="false" outlineLevel="0" collapsed="false">
      <c r="A257" s="7" t="n">
        <v>256</v>
      </c>
      <c r="B257" s="8"/>
      <c r="C257" s="8"/>
      <c r="D257" s="7"/>
      <c r="E257" s="7"/>
      <c r="F257" s="8"/>
      <c r="G257" s="7"/>
      <c r="H257" s="7"/>
      <c r="I257" s="8"/>
      <c r="J257" s="9"/>
      <c r="K257" s="9"/>
      <c r="L257" s="7"/>
      <c r="M257" s="7"/>
      <c r="N257" s="8"/>
      <c r="O257" s="9"/>
      <c r="P257" s="9"/>
      <c r="Q257" s="9"/>
      <c r="R257" s="9"/>
      <c r="S257" s="8"/>
      <c r="T257" s="9" t="str">
        <f aca="false">IF(J257="","",EDATE(MAX(J257,K257,P257,Q257,R257),36))</f>
        <v/>
      </c>
      <c r="U257" s="9" t="str">
        <f aca="false">IF(OR(L257&lt;&gt;"Email",K257="",P257&lt;&gt;"",M257="Opposition",M257="Pas intéressé",M257="Client",M257="Rendez-vous pris",M257="Numéro erroné"),"",WORKDAY(K257,5))</f>
        <v/>
      </c>
      <c r="V257" s="9" t="str">
        <f aca="false">IF(OR(P257="",Q257&lt;&gt;"",M257="Opposition",M257="Pas intéressé",M257="Client",M257="Rendez-vous pris",M257="Numéro erroné"),"",WORKDAY(P257,7))</f>
        <v/>
      </c>
      <c r="W257" s="7" t="str">
        <f aca="true">IF(M257="Opposition","Ne pas contacter",IF(AND(U257&lt;&gt;"",U257&lt;=TODAY()),"Relance 1 à envoyer",IF(AND(V257&lt;&gt;"",V257&lt;=TODAY()),"Relance 2 à envoyer",IF(AND(O257&lt;&gt;"",O257&lt;=TODAY()),"Rappel à faire",""))))</f>
        <v/>
      </c>
    </row>
    <row r="258" customFormat="false" ht="15" hidden="false" customHeight="false" outlineLevel="0" collapsed="false">
      <c r="A258" s="7" t="n">
        <v>257</v>
      </c>
      <c r="B258" s="8"/>
      <c r="C258" s="8"/>
      <c r="D258" s="7"/>
      <c r="E258" s="7"/>
      <c r="F258" s="8"/>
      <c r="G258" s="7"/>
      <c r="H258" s="7"/>
      <c r="I258" s="8"/>
      <c r="J258" s="9"/>
      <c r="K258" s="9"/>
      <c r="L258" s="7"/>
      <c r="M258" s="7"/>
      <c r="N258" s="8"/>
      <c r="O258" s="9"/>
      <c r="P258" s="9"/>
      <c r="Q258" s="9"/>
      <c r="R258" s="9"/>
      <c r="S258" s="8"/>
      <c r="T258" s="9" t="str">
        <f aca="false">IF(J258="","",EDATE(MAX(J258,K258,P258,Q258,R258),36))</f>
        <v/>
      </c>
      <c r="U258" s="9" t="str">
        <f aca="false">IF(OR(L258&lt;&gt;"Email",K258="",P258&lt;&gt;"",M258="Opposition",M258="Pas intéressé",M258="Client",M258="Rendez-vous pris",M258="Numéro erroné"),"",WORKDAY(K258,5))</f>
        <v/>
      </c>
      <c r="V258" s="9" t="str">
        <f aca="false">IF(OR(P258="",Q258&lt;&gt;"",M258="Opposition",M258="Pas intéressé",M258="Client",M258="Rendez-vous pris",M258="Numéro erroné"),"",WORKDAY(P258,7))</f>
        <v/>
      </c>
      <c r="W258" s="7" t="str">
        <f aca="true">IF(M258="Opposition","Ne pas contacter",IF(AND(U258&lt;&gt;"",U258&lt;=TODAY()),"Relance 1 à envoyer",IF(AND(V258&lt;&gt;"",V258&lt;=TODAY()),"Relance 2 à envoyer",IF(AND(O258&lt;&gt;"",O258&lt;=TODAY()),"Rappel à faire",""))))</f>
        <v/>
      </c>
    </row>
    <row r="259" customFormat="false" ht="15" hidden="false" customHeight="false" outlineLevel="0" collapsed="false">
      <c r="A259" s="7" t="n">
        <v>258</v>
      </c>
      <c r="B259" s="8"/>
      <c r="C259" s="8"/>
      <c r="D259" s="7"/>
      <c r="E259" s="7"/>
      <c r="F259" s="8"/>
      <c r="G259" s="7"/>
      <c r="H259" s="7"/>
      <c r="I259" s="8"/>
      <c r="J259" s="9"/>
      <c r="K259" s="9"/>
      <c r="L259" s="7"/>
      <c r="M259" s="7"/>
      <c r="N259" s="8"/>
      <c r="O259" s="9"/>
      <c r="P259" s="9"/>
      <c r="Q259" s="9"/>
      <c r="R259" s="9"/>
      <c r="S259" s="8"/>
      <c r="T259" s="9" t="str">
        <f aca="false">IF(J259="","",EDATE(MAX(J259,K259,P259,Q259,R259),36))</f>
        <v/>
      </c>
      <c r="U259" s="9" t="str">
        <f aca="false">IF(OR(L259&lt;&gt;"Email",K259="",P259&lt;&gt;"",M259="Opposition",M259="Pas intéressé",M259="Client",M259="Rendez-vous pris",M259="Numéro erroné"),"",WORKDAY(K259,5))</f>
        <v/>
      </c>
      <c r="V259" s="9" t="str">
        <f aca="false">IF(OR(P259="",Q259&lt;&gt;"",M259="Opposition",M259="Pas intéressé",M259="Client",M259="Rendez-vous pris",M259="Numéro erroné"),"",WORKDAY(P259,7))</f>
        <v/>
      </c>
      <c r="W259" s="7" t="str">
        <f aca="true">IF(M259="Opposition","Ne pas contacter",IF(AND(U259&lt;&gt;"",U259&lt;=TODAY()),"Relance 1 à envoyer",IF(AND(V259&lt;&gt;"",V259&lt;=TODAY()),"Relance 2 à envoyer",IF(AND(O259&lt;&gt;"",O259&lt;=TODAY()),"Rappel à faire",""))))</f>
        <v/>
      </c>
    </row>
    <row r="260" customFormat="false" ht="15" hidden="false" customHeight="false" outlineLevel="0" collapsed="false">
      <c r="A260" s="7" t="n">
        <v>259</v>
      </c>
      <c r="B260" s="8"/>
      <c r="C260" s="8"/>
      <c r="D260" s="7"/>
      <c r="E260" s="7"/>
      <c r="F260" s="8"/>
      <c r="G260" s="7"/>
      <c r="H260" s="7"/>
      <c r="I260" s="8"/>
      <c r="J260" s="9"/>
      <c r="K260" s="9"/>
      <c r="L260" s="7"/>
      <c r="M260" s="7"/>
      <c r="N260" s="8"/>
      <c r="O260" s="9"/>
      <c r="P260" s="9"/>
      <c r="Q260" s="9"/>
      <c r="R260" s="9"/>
      <c r="S260" s="8"/>
      <c r="T260" s="9" t="str">
        <f aca="false">IF(J260="","",EDATE(MAX(J260,K260,P260,Q260,R260),36))</f>
        <v/>
      </c>
      <c r="U260" s="9" t="str">
        <f aca="false">IF(OR(L260&lt;&gt;"Email",K260="",P260&lt;&gt;"",M260="Opposition",M260="Pas intéressé",M260="Client",M260="Rendez-vous pris",M260="Numéro erroné"),"",WORKDAY(K260,5))</f>
        <v/>
      </c>
      <c r="V260" s="9" t="str">
        <f aca="false">IF(OR(P260="",Q260&lt;&gt;"",M260="Opposition",M260="Pas intéressé",M260="Client",M260="Rendez-vous pris",M260="Numéro erroné"),"",WORKDAY(P260,7))</f>
        <v/>
      </c>
      <c r="W260" s="7" t="str">
        <f aca="true">IF(M260="Opposition","Ne pas contacter",IF(AND(U260&lt;&gt;"",U260&lt;=TODAY()),"Relance 1 à envoyer",IF(AND(V260&lt;&gt;"",V260&lt;=TODAY()),"Relance 2 à envoyer",IF(AND(O260&lt;&gt;"",O260&lt;=TODAY()),"Rappel à faire",""))))</f>
        <v/>
      </c>
    </row>
    <row r="261" customFormat="false" ht="15" hidden="false" customHeight="false" outlineLevel="0" collapsed="false">
      <c r="A261" s="7" t="n">
        <v>260</v>
      </c>
      <c r="B261" s="8"/>
      <c r="C261" s="8"/>
      <c r="D261" s="7"/>
      <c r="E261" s="7"/>
      <c r="F261" s="8"/>
      <c r="G261" s="7"/>
      <c r="H261" s="7"/>
      <c r="I261" s="8"/>
      <c r="J261" s="9"/>
      <c r="K261" s="9"/>
      <c r="L261" s="7"/>
      <c r="M261" s="7"/>
      <c r="N261" s="8"/>
      <c r="O261" s="9"/>
      <c r="P261" s="9"/>
      <c r="Q261" s="9"/>
      <c r="R261" s="9"/>
      <c r="S261" s="8"/>
      <c r="T261" s="9" t="str">
        <f aca="false">IF(J261="","",EDATE(MAX(J261,K261,P261,Q261,R261),36))</f>
        <v/>
      </c>
      <c r="U261" s="9" t="str">
        <f aca="false">IF(OR(L261&lt;&gt;"Email",K261="",P261&lt;&gt;"",M261="Opposition",M261="Pas intéressé",M261="Client",M261="Rendez-vous pris",M261="Numéro erroné"),"",WORKDAY(K261,5))</f>
        <v/>
      </c>
      <c r="V261" s="9" t="str">
        <f aca="false">IF(OR(P261="",Q261&lt;&gt;"",M261="Opposition",M261="Pas intéressé",M261="Client",M261="Rendez-vous pris",M261="Numéro erroné"),"",WORKDAY(P261,7))</f>
        <v/>
      </c>
      <c r="W261" s="7" t="str">
        <f aca="true">IF(M261="Opposition","Ne pas contacter",IF(AND(U261&lt;&gt;"",U261&lt;=TODAY()),"Relance 1 à envoyer",IF(AND(V261&lt;&gt;"",V261&lt;=TODAY()),"Relance 2 à envoyer",IF(AND(O261&lt;&gt;"",O261&lt;=TODAY()),"Rappel à faire",""))))</f>
        <v/>
      </c>
    </row>
    <row r="262" customFormat="false" ht="15" hidden="false" customHeight="false" outlineLevel="0" collapsed="false">
      <c r="A262" s="7" t="n">
        <v>261</v>
      </c>
      <c r="B262" s="8"/>
      <c r="C262" s="8"/>
      <c r="D262" s="7"/>
      <c r="E262" s="7"/>
      <c r="F262" s="8"/>
      <c r="G262" s="7"/>
      <c r="H262" s="7"/>
      <c r="I262" s="8"/>
      <c r="J262" s="9"/>
      <c r="K262" s="9"/>
      <c r="L262" s="7"/>
      <c r="M262" s="7"/>
      <c r="N262" s="8"/>
      <c r="O262" s="9"/>
      <c r="P262" s="9"/>
      <c r="Q262" s="9"/>
      <c r="R262" s="9"/>
      <c r="S262" s="8"/>
      <c r="T262" s="9" t="str">
        <f aca="false">IF(J262="","",EDATE(MAX(J262,K262,P262,Q262,R262),36))</f>
        <v/>
      </c>
      <c r="U262" s="9" t="str">
        <f aca="false">IF(OR(L262&lt;&gt;"Email",K262="",P262&lt;&gt;"",M262="Opposition",M262="Pas intéressé",M262="Client",M262="Rendez-vous pris",M262="Numéro erroné"),"",WORKDAY(K262,5))</f>
        <v/>
      </c>
      <c r="V262" s="9" t="str">
        <f aca="false">IF(OR(P262="",Q262&lt;&gt;"",M262="Opposition",M262="Pas intéressé",M262="Client",M262="Rendez-vous pris",M262="Numéro erroné"),"",WORKDAY(P262,7))</f>
        <v/>
      </c>
      <c r="W262" s="7" t="str">
        <f aca="true">IF(M262="Opposition","Ne pas contacter",IF(AND(U262&lt;&gt;"",U262&lt;=TODAY()),"Relance 1 à envoyer",IF(AND(V262&lt;&gt;"",V262&lt;=TODAY()),"Relance 2 à envoyer",IF(AND(O262&lt;&gt;"",O262&lt;=TODAY()),"Rappel à faire",""))))</f>
        <v/>
      </c>
    </row>
    <row r="263" customFormat="false" ht="15" hidden="false" customHeight="false" outlineLevel="0" collapsed="false">
      <c r="A263" s="7" t="n">
        <v>262</v>
      </c>
      <c r="B263" s="8"/>
      <c r="C263" s="8"/>
      <c r="D263" s="7"/>
      <c r="E263" s="7"/>
      <c r="F263" s="8"/>
      <c r="G263" s="7"/>
      <c r="H263" s="7"/>
      <c r="I263" s="8"/>
      <c r="J263" s="9"/>
      <c r="K263" s="9"/>
      <c r="L263" s="7"/>
      <c r="M263" s="7"/>
      <c r="N263" s="8"/>
      <c r="O263" s="9"/>
      <c r="P263" s="9"/>
      <c r="Q263" s="9"/>
      <c r="R263" s="9"/>
      <c r="S263" s="8"/>
      <c r="T263" s="9" t="str">
        <f aca="false">IF(J263="","",EDATE(MAX(J263,K263,P263,Q263,R263),36))</f>
        <v/>
      </c>
      <c r="U263" s="9" t="str">
        <f aca="false">IF(OR(L263&lt;&gt;"Email",K263="",P263&lt;&gt;"",M263="Opposition",M263="Pas intéressé",M263="Client",M263="Rendez-vous pris",M263="Numéro erroné"),"",WORKDAY(K263,5))</f>
        <v/>
      </c>
      <c r="V263" s="9" t="str">
        <f aca="false">IF(OR(P263="",Q263&lt;&gt;"",M263="Opposition",M263="Pas intéressé",M263="Client",M263="Rendez-vous pris",M263="Numéro erroné"),"",WORKDAY(P263,7))</f>
        <v/>
      </c>
      <c r="W263" s="7" t="str">
        <f aca="true">IF(M263="Opposition","Ne pas contacter",IF(AND(U263&lt;&gt;"",U263&lt;=TODAY()),"Relance 1 à envoyer",IF(AND(V263&lt;&gt;"",V263&lt;=TODAY()),"Relance 2 à envoyer",IF(AND(O263&lt;&gt;"",O263&lt;=TODAY()),"Rappel à faire",""))))</f>
        <v/>
      </c>
    </row>
    <row r="264" customFormat="false" ht="15" hidden="false" customHeight="false" outlineLevel="0" collapsed="false">
      <c r="A264" s="7" t="n">
        <v>263</v>
      </c>
      <c r="B264" s="8"/>
      <c r="C264" s="8"/>
      <c r="D264" s="7"/>
      <c r="E264" s="7"/>
      <c r="F264" s="8"/>
      <c r="G264" s="7"/>
      <c r="H264" s="7"/>
      <c r="I264" s="8"/>
      <c r="J264" s="9"/>
      <c r="K264" s="9"/>
      <c r="L264" s="7"/>
      <c r="M264" s="7"/>
      <c r="N264" s="8"/>
      <c r="O264" s="9"/>
      <c r="P264" s="9"/>
      <c r="Q264" s="9"/>
      <c r="R264" s="9"/>
      <c r="S264" s="8"/>
      <c r="T264" s="9" t="str">
        <f aca="false">IF(J264="","",EDATE(MAX(J264,K264,P264,Q264,R264),36))</f>
        <v/>
      </c>
      <c r="U264" s="9" t="str">
        <f aca="false">IF(OR(L264&lt;&gt;"Email",K264="",P264&lt;&gt;"",M264="Opposition",M264="Pas intéressé",M264="Client",M264="Rendez-vous pris",M264="Numéro erroné"),"",WORKDAY(K264,5))</f>
        <v/>
      </c>
      <c r="V264" s="9" t="str">
        <f aca="false">IF(OR(P264="",Q264&lt;&gt;"",M264="Opposition",M264="Pas intéressé",M264="Client",M264="Rendez-vous pris",M264="Numéro erroné"),"",WORKDAY(P264,7))</f>
        <v/>
      </c>
      <c r="W264" s="7" t="str">
        <f aca="true">IF(M264="Opposition","Ne pas contacter",IF(AND(U264&lt;&gt;"",U264&lt;=TODAY()),"Relance 1 à envoyer",IF(AND(V264&lt;&gt;"",V264&lt;=TODAY()),"Relance 2 à envoyer",IF(AND(O264&lt;&gt;"",O264&lt;=TODAY()),"Rappel à faire",""))))</f>
        <v/>
      </c>
    </row>
    <row r="265" customFormat="false" ht="15" hidden="false" customHeight="false" outlineLevel="0" collapsed="false">
      <c r="A265" s="7" t="n">
        <v>264</v>
      </c>
      <c r="B265" s="8"/>
      <c r="C265" s="8"/>
      <c r="D265" s="7"/>
      <c r="E265" s="7"/>
      <c r="F265" s="8"/>
      <c r="G265" s="7"/>
      <c r="H265" s="7"/>
      <c r="I265" s="8"/>
      <c r="J265" s="9"/>
      <c r="K265" s="9"/>
      <c r="L265" s="7"/>
      <c r="M265" s="7"/>
      <c r="N265" s="8"/>
      <c r="O265" s="9"/>
      <c r="P265" s="9"/>
      <c r="Q265" s="9"/>
      <c r="R265" s="9"/>
      <c r="S265" s="8"/>
      <c r="T265" s="9" t="str">
        <f aca="false">IF(J265="","",EDATE(MAX(J265,K265,P265,Q265,R265),36))</f>
        <v/>
      </c>
      <c r="U265" s="9" t="str">
        <f aca="false">IF(OR(L265&lt;&gt;"Email",K265="",P265&lt;&gt;"",M265="Opposition",M265="Pas intéressé",M265="Client",M265="Rendez-vous pris",M265="Numéro erroné"),"",WORKDAY(K265,5))</f>
        <v/>
      </c>
      <c r="V265" s="9" t="str">
        <f aca="false">IF(OR(P265="",Q265&lt;&gt;"",M265="Opposition",M265="Pas intéressé",M265="Client",M265="Rendez-vous pris",M265="Numéro erroné"),"",WORKDAY(P265,7))</f>
        <v/>
      </c>
      <c r="W265" s="7" t="str">
        <f aca="true">IF(M265="Opposition","Ne pas contacter",IF(AND(U265&lt;&gt;"",U265&lt;=TODAY()),"Relance 1 à envoyer",IF(AND(V265&lt;&gt;"",V265&lt;=TODAY()),"Relance 2 à envoyer",IF(AND(O265&lt;&gt;"",O265&lt;=TODAY()),"Rappel à faire",""))))</f>
        <v/>
      </c>
    </row>
    <row r="266" customFormat="false" ht="15" hidden="false" customHeight="false" outlineLevel="0" collapsed="false">
      <c r="A266" s="7" t="n">
        <v>265</v>
      </c>
      <c r="B266" s="8"/>
      <c r="C266" s="8"/>
      <c r="D266" s="7"/>
      <c r="E266" s="7"/>
      <c r="F266" s="8"/>
      <c r="G266" s="7"/>
      <c r="H266" s="7"/>
      <c r="I266" s="8"/>
      <c r="J266" s="9"/>
      <c r="K266" s="9"/>
      <c r="L266" s="7"/>
      <c r="M266" s="7"/>
      <c r="N266" s="8"/>
      <c r="O266" s="9"/>
      <c r="P266" s="9"/>
      <c r="Q266" s="9"/>
      <c r="R266" s="9"/>
      <c r="S266" s="8"/>
      <c r="T266" s="9" t="str">
        <f aca="false">IF(J266="","",EDATE(MAX(J266,K266,P266,Q266,R266),36))</f>
        <v/>
      </c>
      <c r="U266" s="9" t="str">
        <f aca="false">IF(OR(L266&lt;&gt;"Email",K266="",P266&lt;&gt;"",M266="Opposition",M266="Pas intéressé",M266="Client",M266="Rendez-vous pris",M266="Numéro erroné"),"",WORKDAY(K266,5))</f>
        <v/>
      </c>
      <c r="V266" s="9" t="str">
        <f aca="false">IF(OR(P266="",Q266&lt;&gt;"",M266="Opposition",M266="Pas intéressé",M266="Client",M266="Rendez-vous pris",M266="Numéro erroné"),"",WORKDAY(P266,7))</f>
        <v/>
      </c>
      <c r="W266" s="7" t="str">
        <f aca="true">IF(M266="Opposition","Ne pas contacter",IF(AND(U266&lt;&gt;"",U266&lt;=TODAY()),"Relance 1 à envoyer",IF(AND(V266&lt;&gt;"",V266&lt;=TODAY()),"Relance 2 à envoyer",IF(AND(O266&lt;&gt;"",O266&lt;=TODAY()),"Rappel à faire",""))))</f>
        <v/>
      </c>
    </row>
    <row r="267" customFormat="false" ht="15" hidden="false" customHeight="false" outlineLevel="0" collapsed="false">
      <c r="A267" s="7" t="n">
        <v>266</v>
      </c>
      <c r="B267" s="8"/>
      <c r="C267" s="8"/>
      <c r="D267" s="7"/>
      <c r="E267" s="7"/>
      <c r="F267" s="8"/>
      <c r="G267" s="7"/>
      <c r="H267" s="7"/>
      <c r="I267" s="8"/>
      <c r="J267" s="9"/>
      <c r="K267" s="9"/>
      <c r="L267" s="7"/>
      <c r="M267" s="7"/>
      <c r="N267" s="8"/>
      <c r="O267" s="9"/>
      <c r="P267" s="9"/>
      <c r="Q267" s="9"/>
      <c r="R267" s="9"/>
      <c r="S267" s="8"/>
      <c r="T267" s="9" t="str">
        <f aca="false">IF(J267="","",EDATE(MAX(J267,K267,P267,Q267,R267),36))</f>
        <v/>
      </c>
      <c r="U267" s="9" t="str">
        <f aca="false">IF(OR(L267&lt;&gt;"Email",K267="",P267&lt;&gt;"",M267="Opposition",M267="Pas intéressé",M267="Client",M267="Rendez-vous pris",M267="Numéro erroné"),"",WORKDAY(K267,5))</f>
        <v/>
      </c>
      <c r="V267" s="9" t="str">
        <f aca="false">IF(OR(P267="",Q267&lt;&gt;"",M267="Opposition",M267="Pas intéressé",M267="Client",M267="Rendez-vous pris",M267="Numéro erroné"),"",WORKDAY(P267,7))</f>
        <v/>
      </c>
      <c r="W267" s="7" t="str">
        <f aca="true">IF(M267="Opposition","Ne pas contacter",IF(AND(U267&lt;&gt;"",U267&lt;=TODAY()),"Relance 1 à envoyer",IF(AND(V267&lt;&gt;"",V267&lt;=TODAY()),"Relance 2 à envoyer",IF(AND(O267&lt;&gt;"",O267&lt;=TODAY()),"Rappel à faire",""))))</f>
        <v/>
      </c>
    </row>
    <row r="268" customFormat="false" ht="15" hidden="false" customHeight="false" outlineLevel="0" collapsed="false">
      <c r="A268" s="7" t="n">
        <v>267</v>
      </c>
      <c r="B268" s="8"/>
      <c r="C268" s="8"/>
      <c r="D268" s="7"/>
      <c r="E268" s="7"/>
      <c r="F268" s="8"/>
      <c r="G268" s="7"/>
      <c r="H268" s="7"/>
      <c r="I268" s="8"/>
      <c r="J268" s="9"/>
      <c r="K268" s="9"/>
      <c r="L268" s="7"/>
      <c r="M268" s="7"/>
      <c r="N268" s="8"/>
      <c r="O268" s="9"/>
      <c r="P268" s="9"/>
      <c r="Q268" s="9"/>
      <c r="R268" s="9"/>
      <c r="S268" s="8"/>
      <c r="T268" s="9" t="str">
        <f aca="false">IF(J268="","",EDATE(MAX(J268,K268,P268,Q268,R268),36))</f>
        <v/>
      </c>
      <c r="U268" s="9" t="str">
        <f aca="false">IF(OR(L268&lt;&gt;"Email",K268="",P268&lt;&gt;"",M268="Opposition",M268="Pas intéressé",M268="Client",M268="Rendez-vous pris",M268="Numéro erroné"),"",WORKDAY(K268,5))</f>
        <v/>
      </c>
      <c r="V268" s="9" t="str">
        <f aca="false">IF(OR(P268="",Q268&lt;&gt;"",M268="Opposition",M268="Pas intéressé",M268="Client",M268="Rendez-vous pris",M268="Numéro erroné"),"",WORKDAY(P268,7))</f>
        <v/>
      </c>
      <c r="W268" s="7" t="str">
        <f aca="true">IF(M268="Opposition","Ne pas contacter",IF(AND(U268&lt;&gt;"",U268&lt;=TODAY()),"Relance 1 à envoyer",IF(AND(V268&lt;&gt;"",V268&lt;=TODAY()),"Relance 2 à envoyer",IF(AND(O268&lt;&gt;"",O268&lt;=TODAY()),"Rappel à faire",""))))</f>
        <v/>
      </c>
    </row>
    <row r="269" customFormat="false" ht="15" hidden="false" customHeight="false" outlineLevel="0" collapsed="false">
      <c r="A269" s="7" t="n">
        <v>268</v>
      </c>
      <c r="B269" s="8"/>
      <c r="C269" s="8"/>
      <c r="D269" s="7"/>
      <c r="E269" s="7"/>
      <c r="F269" s="8"/>
      <c r="G269" s="7"/>
      <c r="H269" s="7"/>
      <c r="I269" s="8"/>
      <c r="J269" s="9"/>
      <c r="K269" s="9"/>
      <c r="L269" s="7"/>
      <c r="M269" s="7"/>
      <c r="N269" s="8"/>
      <c r="O269" s="9"/>
      <c r="P269" s="9"/>
      <c r="Q269" s="9"/>
      <c r="R269" s="9"/>
      <c r="S269" s="8"/>
      <c r="T269" s="9" t="str">
        <f aca="false">IF(J269="","",EDATE(MAX(J269,K269,P269,Q269,R269),36))</f>
        <v/>
      </c>
      <c r="U269" s="9" t="str">
        <f aca="false">IF(OR(L269&lt;&gt;"Email",K269="",P269&lt;&gt;"",M269="Opposition",M269="Pas intéressé",M269="Client",M269="Rendez-vous pris",M269="Numéro erroné"),"",WORKDAY(K269,5))</f>
        <v/>
      </c>
      <c r="V269" s="9" t="str">
        <f aca="false">IF(OR(P269="",Q269&lt;&gt;"",M269="Opposition",M269="Pas intéressé",M269="Client",M269="Rendez-vous pris",M269="Numéro erroné"),"",WORKDAY(P269,7))</f>
        <v/>
      </c>
      <c r="W269" s="7" t="str">
        <f aca="true">IF(M269="Opposition","Ne pas contacter",IF(AND(U269&lt;&gt;"",U269&lt;=TODAY()),"Relance 1 à envoyer",IF(AND(V269&lt;&gt;"",V269&lt;=TODAY()),"Relance 2 à envoyer",IF(AND(O269&lt;&gt;"",O269&lt;=TODAY()),"Rappel à faire",""))))</f>
        <v/>
      </c>
    </row>
    <row r="270" customFormat="false" ht="15" hidden="false" customHeight="false" outlineLevel="0" collapsed="false">
      <c r="A270" s="7" t="n">
        <v>269</v>
      </c>
      <c r="B270" s="8"/>
      <c r="C270" s="8"/>
      <c r="D270" s="7"/>
      <c r="E270" s="7"/>
      <c r="F270" s="8"/>
      <c r="G270" s="7"/>
      <c r="H270" s="7"/>
      <c r="I270" s="8"/>
      <c r="J270" s="9"/>
      <c r="K270" s="9"/>
      <c r="L270" s="7"/>
      <c r="M270" s="7"/>
      <c r="N270" s="8"/>
      <c r="O270" s="9"/>
      <c r="P270" s="9"/>
      <c r="Q270" s="9"/>
      <c r="R270" s="9"/>
      <c r="S270" s="8"/>
      <c r="T270" s="9" t="str">
        <f aca="false">IF(J270="","",EDATE(MAX(J270,K270,P270,Q270,R270),36))</f>
        <v/>
      </c>
      <c r="U270" s="9" t="str">
        <f aca="false">IF(OR(L270&lt;&gt;"Email",K270="",P270&lt;&gt;"",M270="Opposition",M270="Pas intéressé",M270="Client",M270="Rendez-vous pris",M270="Numéro erroné"),"",WORKDAY(K270,5))</f>
        <v/>
      </c>
      <c r="V270" s="9" t="str">
        <f aca="false">IF(OR(P270="",Q270&lt;&gt;"",M270="Opposition",M270="Pas intéressé",M270="Client",M270="Rendez-vous pris",M270="Numéro erroné"),"",WORKDAY(P270,7))</f>
        <v/>
      </c>
      <c r="W270" s="7" t="str">
        <f aca="true">IF(M270="Opposition","Ne pas contacter",IF(AND(U270&lt;&gt;"",U270&lt;=TODAY()),"Relance 1 à envoyer",IF(AND(V270&lt;&gt;"",V270&lt;=TODAY()),"Relance 2 à envoyer",IF(AND(O270&lt;&gt;"",O270&lt;=TODAY()),"Rappel à faire",""))))</f>
        <v/>
      </c>
    </row>
    <row r="271" customFormat="false" ht="15" hidden="false" customHeight="false" outlineLevel="0" collapsed="false">
      <c r="A271" s="7" t="n">
        <v>270</v>
      </c>
      <c r="B271" s="8"/>
      <c r="C271" s="8"/>
      <c r="D271" s="7"/>
      <c r="E271" s="7"/>
      <c r="F271" s="8"/>
      <c r="G271" s="7"/>
      <c r="H271" s="7"/>
      <c r="I271" s="8"/>
      <c r="J271" s="9"/>
      <c r="K271" s="9"/>
      <c r="L271" s="7"/>
      <c r="M271" s="7"/>
      <c r="N271" s="8"/>
      <c r="O271" s="9"/>
      <c r="P271" s="9"/>
      <c r="Q271" s="9"/>
      <c r="R271" s="9"/>
      <c r="S271" s="8"/>
      <c r="T271" s="9" t="str">
        <f aca="false">IF(J271="","",EDATE(MAX(J271,K271,P271,Q271,R271),36))</f>
        <v/>
      </c>
      <c r="U271" s="9" t="str">
        <f aca="false">IF(OR(L271&lt;&gt;"Email",K271="",P271&lt;&gt;"",M271="Opposition",M271="Pas intéressé",M271="Client",M271="Rendez-vous pris",M271="Numéro erroné"),"",WORKDAY(K271,5))</f>
        <v/>
      </c>
      <c r="V271" s="9" t="str">
        <f aca="false">IF(OR(P271="",Q271&lt;&gt;"",M271="Opposition",M271="Pas intéressé",M271="Client",M271="Rendez-vous pris",M271="Numéro erroné"),"",WORKDAY(P271,7))</f>
        <v/>
      </c>
      <c r="W271" s="7" t="str">
        <f aca="true">IF(M271="Opposition","Ne pas contacter",IF(AND(U271&lt;&gt;"",U271&lt;=TODAY()),"Relance 1 à envoyer",IF(AND(V271&lt;&gt;"",V271&lt;=TODAY()),"Relance 2 à envoyer",IF(AND(O271&lt;&gt;"",O271&lt;=TODAY()),"Rappel à faire",""))))</f>
        <v/>
      </c>
    </row>
    <row r="272" customFormat="false" ht="15" hidden="false" customHeight="false" outlineLevel="0" collapsed="false">
      <c r="A272" s="7" t="n">
        <v>271</v>
      </c>
      <c r="B272" s="8"/>
      <c r="C272" s="8"/>
      <c r="D272" s="7"/>
      <c r="E272" s="7"/>
      <c r="F272" s="8"/>
      <c r="G272" s="7"/>
      <c r="H272" s="7"/>
      <c r="I272" s="8"/>
      <c r="J272" s="9"/>
      <c r="K272" s="9"/>
      <c r="L272" s="7"/>
      <c r="M272" s="7"/>
      <c r="N272" s="8"/>
      <c r="O272" s="9"/>
      <c r="P272" s="9"/>
      <c r="Q272" s="9"/>
      <c r="R272" s="9"/>
      <c r="S272" s="8"/>
      <c r="T272" s="9" t="str">
        <f aca="false">IF(J272="","",EDATE(MAX(J272,K272,P272,Q272,R272),36))</f>
        <v/>
      </c>
      <c r="U272" s="9" t="str">
        <f aca="false">IF(OR(L272&lt;&gt;"Email",K272="",P272&lt;&gt;"",M272="Opposition",M272="Pas intéressé",M272="Client",M272="Rendez-vous pris",M272="Numéro erroné"),"",WORKDAY(K272,5))</f>
        <v/>
      </c>
      <c r="V272" s="9" t="str">
        <f aca="false">IF(OR(P272="",Q272&lt;&gt;"",M272="Opposition",M272="Pas intéressé",M272="Client",M272="Rendez-vous pris",M272="Numéro erroné"),"",WORKDAY(P272,7))</f>
        <v/>
      </c>
      <c r="W272" s="7" t="str">
        <f aca="true">IF(M272="Opposition","Ne pas contacter",IF(AND(U272&lt;&gt;"",U272&lt;=TODAY()),"Relance 1 à envoyer",IF(AND(V272&lt;&gt;"",V272&lt;=TODAY()),"Relance 2 à envoyer",IF(AND(O272&lt;&gt;"",O272&lt;=TODAY()),"Rappel à faire",""))))</f>
        <v/>
      </c>
    </row>
    <row r="273" customFormat="false" ht="15" hidden="false" customHeight="false" outlineLevel="0" collapsed="false">
      <c r="A273" s="7" t="n">
        <v>272</v>
      </c>
      <c r="B273" s="8"/>
      <c r="C273" s="8"/>
      <c r="D273" s="7"/>
      <c r="E273" s="7"/>
      <c r="F273" s="8"/>
      <c r="G273" s="7"/>
      <c r="H273" s="7"/>
      <c r="I273" s="8"/>
      <c r="J273" s="9"/>
      <c r="K273" s="9"/>
      <c r="L273" s="7"/>
      <c r="M273" s="7"/>
      <c r="N273" s="8"/>
      <c r="O273" s="9"/>
      <c r="P273" s="9"/>
      <c r="Q273" s="9"/>
      <c r="R273" s="9"/>
      <c r="S273" s="8"/>
      <c r="T273" s="9" t="str">
        <f aca="false">IF(J273="","",EDATE(MAX(J273,K273,P273,Q273,R273),36))</f>
        <v/>
      </c>
      <c r="U273" s="9" t="str">
        <f aca="false">IF(OR(L273&lt;&gt;"Email",K273="",P273&lt;&gt;"",M273="Opposition",M273="Pas intéressé",M273="Client",M273="Rendez-vous pris",M273="Numéro erroné"),"",WORKDAY(K273,5))</f>
        <v/>
      </c>
      <c r="V273" s="9" t="str">
        <f aca="false">IF(OR(P273="",Q273&lt;&gt;"",M273="Opposition",M273="Pas intéressé",M273="Client",M273="Rendez-vous pris",M273="Numéro erroné"),"",WORKDAY(P273,7))</f>
        <v/>
      </c>
      <c r="W273" s="7" t="str">
        <f aca="true">IF(M273="Opposition","Ne pas contacter",IF(AND(U273&lt;&gt;"",U273&lt;=TODAY()),"Relance 1 à envoyer",IF(AND(V273&lt;&gt;"",V273&lt;=TODAY()),"Relance 2 à envoyer",IF(AND(O273&lt;&gt;"",O273&lt;=TODAY()),"Rappel à faire",""))))</f>
        <v/>
      </c>
    </row>
    <row r="274" customFormat="false" ht="15" hidden="false" customHeight="false" outlineLevel="0" collapsed="false">
      <c r="A274" s="7" t="n">
        <v>273</v>
      </c>
      <c r="B274" s="8"/>
      <c r="C274" s="8"/>
      <c r="D274" s="7"/>
      <c r="E274" s="7"/>
      <c r="F274" s="8"/>
      <c r="G274" s="7"/>
      <c r="H274" s="7"/>
      <c r="I274" s="8"/>
      <c r="J274" s="9"/>
      <c r="K274" s="9"/>
      <c r="L274" s="7"/>
      <c r="M274" s="7"/>
      <c r="N274" s="8"/>
      <c r="O274" s="9"/>
      <c r="P274" s="9"/>
      <c r="Q274" s="9"/>
      <c r="R274" s="9"/>
      <c r="S274" s="8"/>
      <c r="T274" s="9" t="str">
        <f aca="false">IF(J274="","",EDATE(MAX(J274,K274,P274,Q274,R274),36))</f>
        <v/>
      </c>
      <c r="U274" s="9" t="str">
        <f aca="false">IF(OR(L274&lt;&gt;"Email",K274="",P274&lt;&gt;"",M274="Opposition",M274="Pas intéressé",M274="Client",M274="Rendez-vous pris",M274="Numéro erroné"),"",WORKDAY(K274,5))</f>
        <v/>
      </c>
      <c r="V274" s="9" t="str">
        <f aca="false">IF(OR(P274="",Q274&lt;&gt;"",M274="Opposition",M274="Pas intéressé",M274="Client",M274="Rendez-vous pris",M274="Numéro erroné"),"",WORKDAY(P274,7))</f>
        <v/>
      </c>
      <c r="W274" s="7" t="str">
        <f aca="true">IF(M274="Opposition","Ne pas contacter",IF(AND(U274&lt;&gt;"",U274&lt;=TODAY()),"Relance 1 à envoyer",IF(AND(V274&lt;&gt;"",V274&lt;=TODAY()),"Relance 2 à envoyer",IF(AND(O274&lt;&gt;"",O274&lt;=TODAY()),"Rappel à faire",""))))</f>
        <v/>
      </c>
    </row>
    <row r="275" customFormat="false" ht="15" hidden="false" customHeight="false" outlineLevel="0" collapsed="false">
      <c r="A275" s="7" t="n">
        <v>274</v>
      </c>
      <c r="B275" s="8"/>
      <c r="C275" s="8"/>
      <c r="D275" s="7"/>
      <c r="E275" s="7"/>
      <c r="F275" s="8"/>
      <c r="G275" s="7"/>
      <c r="H275" s="7"/>
      <c r="I275" s="8"/>
      <c r="J275" s="9"/>
      <c r="K275" s="9"/>
      <c r="L275" s="7"/>
      <c r="M275" s="7"/>
      <c r="N275" s="8"/>
      <c r="O275" s="9"/>
      <c r="P275" s="9"/>
      <c r="Q275" s="9"/>
      <c r="R275" s="9"/>
      <c r="S275" s="8"/>
      <c r="T275" s="9" t="str">
        <f aca="false">IF(J275="","",EDATE(MAX(J275,K275,P275,Q275,R275),36))</f>
        <v/>
      </c>
      <c r="U275" s="9" t="str">
        <f aca="false">IF(OR(L275&lt;&gt;"Email",K275="",P275&lt;&gt;"",M275="Opposition",M275="Pas intéressé",M275="Client",M275="Rendez-vous pris",M275="Numéro erroné"),"",WORKDAY(K275,5))</f>
        <v/>
      </c>
      <c r="V275" s="9" t="str">
        <f aca="false">IF(OR(P275="",Q275&lt;&gt;"",M275="Opposition",M275="Pas intéressé",M275="Client",M275="Rendez-vous pris",M275="Numéro erroné"),"",WORKDAY(P275,7))</f>
        <v/>
      </c>
      <c r="W275" s="7" t="str">
        <f aca="true">IF(M275="Opposition","Ne pas contacter",IF(AND(U275&lt;&gt;"",U275&lt;=TODAY()),"Relance 1 à envoyer",IF(AND(V275&lt;&gt;"",V275&lt;=TODAY()),"Relance 2 à envoyer",IF(AND(O275&lt;&gt;"",O275&lt;=TODAY()),"Rappel à faire",""))))</f>
        <v/>
      </c>
    </row>
    <row r="276" customFormat="false" ht="15" hidden="false" customHeight="false" outlineLevel="0" collapsed="false">
      <c r="A276" s="7" t="n">
        <v>275</v>
      </c>
      <c r="B276" s="8"/>
      <c r="C276" s="8"/>
      <c r="D276" s="7"/>
      <c r="E276" s="7"/>
      <c r="F276" s="8"/>
      <c r="G276" s="7"/>
      <c r="H276" s="7"/>
      <c r="I276" s="8"/>
      <c r="J276" s="9"/>
      <c r="K276" s="9"/>
      <c r="L276" s="7"/>
      <c r="M276" s="7"/>
      <c r="N276" s="8"/>
      <c r="O276" s="9"/>
      <c r="P276" s="9"/>
      <c r="Q276" s="9"/>
      <c r="R276" s="9"/>
      <c r="S276" s="8"/>
      <c r="T276" s="9" t="str">
        <f aca="false">IF(J276="","",EDATE(MAX(J276,K276,P276,Q276,R276),36))</f>
        <v/>
      </c>
      <c r="U276" s="9" t="str">
        <f aca="false">IF(OR(L276&lt;&gt;"Email",K276="",P276&lt;&gt;"",M276="Opposition",M276="Pas intéressé",M276="Client",M276="Rendez-vous pris",M276="Numéro erroné"),"",WORKDAY(K276,5))</f>
        <v/>
      </c>
      <c r="V276" s="9" t="str">
        <f aca="false">IF(OR(P276="",Q276&lt;&gt;"",M276="Opposition",M276="Pas intéressé",M276="Client",M276="Rendez-vous pris",M276="Numéro erroné"),"",WORKDAY(P276,7))</f>
        <v/>
      </c>
      <c r="W276" s="7" t="str">
        <f aca="true">IF(M276="Opposition","Ne pas contacter",IF(AND(U276&lt;&gt;"",U276&lt;=TODAY()),"Relance 1 à envoyer",IF(AND(V276&lt;&gt;"",V276&lt;=TODAY()),"Relance 2 à envoyer",IF(AND(O276&lt;&gt;"",O276&lt;=TODAY()),"Rappel à faire",""))))</f>
        <v/>
      </c>
    </row>
    <row r="277" customFormat="false" ht="15" hidden="false" customHeight="false" outlineLevel="0" collapsed="false">
      <c r="A277" s="7" t="n">
        <v>276</v>
      </c>
      <c r="B277" s="8"/>
      <c r="C277" s="8"/>
      <c r="D277" s="7"/>
      <c r="E277" s="7"/>
      <c r="F277" s="8"/>
      <c r="G277" s="7"/>
      <c r="H277" s="7"/>
      <c r="I277" s="8"/>
      <c r="J277" s="9"/>
      <c r="K277" s="9"/>
      <c r="L277" s="7"/>
      <c r="M277" s="7"/>
      <c r="N277" s="8"/>
      <c r="O277" s="9"/>
      <c r="P277" s="9"/>
      <c r="Q277" s="9"/>
      <c r="R277" s="9"/>
      <c r="S277" s="8"/>
      <c r="T277" s="9" t="str">
        <f aca="false">IF(J277="","",EDATE(MAX(J277,K277,P277,Q277,R277),36))</f>
        <v/>
      </c>
      <c r="U277" s="9" t="str">
        <f aca="false">IF(OR(L277&lt;&gt;"Email",K277="",P277&lt;&gt;"",M277="Opposition",M277="Pas intéressé",M277="Client",M277="Rendez-vous pris",M277="Numéro erroné"),"",WORKDAY(K277,5))</f>
        <v/>
      </c>
      <c r="V277" s="9" t="str">
        <f aca="false">IF(OR(P277="",Q277&lt;&gt;"",M277="Opposition",M277="Pas intéressé",M277="Client",M277="Rendez-vous pris",M277="Numéro erroné"),"",WORKDAY(P277,7))</f>
        <v/>
      </c>
      <c r="W277" s="7" t="str">
        <f aca="true">IF(M277="Opposition","Ne pas contacter",IF(AND(U277&lt;&gt;"",U277&lt;=TODAY()),"Relance 1 à envoyer",IF(AND(V277&lt;&gt;"",V277&lt;=TODAY()),"Relance 2 à envoyer",IF(AND(O277&lt;&gt;"",O277&lt;=TODAY()),"Rappel à faire",""))))</f>
        <v/>
      </c>
    </row>
    <row r="278" customFormat="false" ht="15" hidden="false" customHeight="false" outlineLevel="0" collapsed="false">
      <c r="A278" s="7" t="n">
        <v>277</v>
      </c>
      <c r="B278" s="8"/>
      <c r="C278" s="8"/>
      <c r="D278" s="7"/>
      <c r="E278" s="7"/>
      <c r="F278" s="8"/>
      <c r="G278" s="7"/>
      <c r="H278" s="7"/>
      <c r="I278" s="8"/>
      <c r="J278" s="9"/>
      <c r="K278" s="9"/>
      <c r="L278" s="7"/>
      <c r="M278" s="7"/>
      <c r="N278" s="8"/>
      <c r="O278" s="9"/>
      <c r="P278" s="9"/>
      <c r="Q278" s="9"/>
      <c r="R278" s="9"/>
      <c r="S278" s="8"/>
      <c r="T278" s="9" t="str">
        <f aca="false">IF(J278="","",EDATE(MAX(J278,K278,P278,Q278,R278),36))</f>
        <v/>
      </c>
      <c r="U278" s="9" t="str">
        <f aca="false">IF(OR(L278&lt;&gt;"Email",K278="",P278&lt;&gt;"",M278="Opposition",M278="Pas intéressé",M278="Client",M278="Rendez-vous pris",M278="Numéro erroné"),"",WORKDAY(K278,5))</f>
        <v/>
      </c>
      <c r="V278" s="9" t="str">
        <f aca="false">IF(OR(P278="",Q278&lt;&gt;"",M278="Opposition",M278="Pas intéressé",M278="Client",M278="Rendez-vous pris",M278="Numéro erroné"),"",WORKDAY(P278,7))</f>
        <v/>
      </c>
      <c r="W278" s="7" t="str">
        <f aca="true">IF(M278="Opposition","Ne pas contacter",IF(AND(U278&lt;&gt;"",U278&lt;=TODAY()),"Relance 1 à envoyer",IF(AND(V278&lt;&gt;"",V278&lt;=TODAY()),"Relance 2 à envoyer",IF(AND(O278&lt;&gt;"",O278&lt;=TODAY()),"Rappel à faire",""))))</f>
        <v/>
      </c>
    </row>
    <row r="279" customFormat="false" ht="15" hidden="false" customHeight="false" outlineLevel="0" collapsed="false">
      <c r="A279" s="7" t="n">
        <v>278</v>
      </c>
      <c r="B279" s="8"/>
      <c r="C279" s="8"/>
      <c r="D279" s="7"/>
      <c r="E279" s="7"/>
      <c r="F279" s="8"/>
      <c r="G279" s="7"/>
      <c r="H279" s="7"/>
      <c r="I279" s="8"/>
      <c r="J279" s="9"/>
      <c r="K279" s="9"/>
      <c r="L279" s="7"/>
      <c r="M279" s="7"/>
      <c r="N279" s="8"/>
      <c r="O279" s="9"/>
      <c r="P279" s="9"/>
      <c r="Q279" s="9"/>
      <c r="R279" s="9"/>
      <c r="S279" s="8"/>
      <c r="T279" s="9" t="str">
        <f aca="false">IF(J279="","",EDATE(MAX(J279,K279,P279,Q279,R279),36))</f>
        <v/>
      </c>
      <c r="U279" s="9" t="str">
        <f aca="false">IF(OR(L279&lt;&gt;"Email",K279="",P279&lt;&gt;"",M279="Opposition",M279="Pas intéressé",M279="Client",M279="Rendez-vous pris",M279="Numéro erroné"),"",WORKDAY(K279,5))</f>
        <v/>
      </c>
      <c r="V279" s="9" t="str">
        <f aca="false">IF(OR(P279="",Q279&lt;&gt;"",M279="Opposition",M279="Pas intéressé",M279="Client",M279="Rendez-vous pris",M279="Numéro erroné"),"",WORKDAY(P279,7))</f>
        <v/>
      </c>
      <c r="W279" s="7" t="str">
        <f aca="true">IF(M279="Opposition","Ne pas contacter",IF(AND(U279&lt;&gt;"",U279&lt;=TODAY()),"Relance 1 à envoyer",IF(AND(V279&lt;&gt;"",V279&lt;=TODAY()),"Relance 2 à envoyer",IF(AND(O279&lt;&gt;"",O279&lt;=TODAY()),"Rappel à faire",""))))</f>
        <v/>
      </c>
    </row>
    <row r="280" customFormat="false" ht="15" hidden="false" customHeight="false" outlineLevel="0" collapsed="false">
      <c r="A280" s="7" t="n">
        <v>279</v>
      </c>
      <c r="B280" s="8"/>
      <c r="C280" s="8"/>
      <c r="D280" s="7"/>
      <c r="E280" s="7"/>
      <c r="F280" s="8"/>
      <c r="G280" s="7"/>
      <c r="H280" s="7"/>
      <c r="I280" s="8"/>
      <c r="J280" s="9"/>
      <c r="K280" s="9"/>
      <c r="L280" s="7"/>
      <c r="M280" s="7"/>
      <c r="N280" s="8"/>
      <c r="O280" s="9"/>
      <c r="P280" s="9"/>
      <c r="Q280" s="9"/>
      <c r="R280" s="9"/>
      <c r="S280" s="8"/>
      <c r="T280" s="9" t="str">
        <f aca="false">IF(J280="","",EDATE(MAX(J280,K280,P280,Q280,R280),36))</f>
        <v/>
      </c>
      <c r="U280" s="9" t="str">
        <f aca="false">IF(OR(L280&lt;&gt;"Email",K280="",P280&lt;&gt;"",M280="Opposition",M280="Pas intéressé",M280="Client",M280="Rendez-vous pris",M280="Numéro erroné"),"",WORKDAY(K280,5))</f>
        <v/>
      </c>
      <c r="V280" s="9" t="str">
        <f aca="false">IF(OR(P280="",Q280&lt;&gt;"",M280="Opposition",M280="Pas intéressé",M280="Client",M280="Rendez-vous pris",M280="Numéro erroné"),"",WORKDAY(P280,7))</f>
        <v/>
      </c>
      <c r="W280" s="7" t="str">
        <f aca="true">IF(M280="Opposition","Ne pas contacter",IF(AND(U280&lt;&gt;"",U280&lt;=TODAY()),"Relance 1 à envoyer",IF(AND(V280&lt;&gt;"",V280&lt;=TODAY()),"Relance 2 à envoyer",IF(AND(O280&lt;&gt;"",O280&lt;=TODAY()),"Rappel à faire",""))))</f>
        <v/>
      </c>
    </row>
    <row r="281" customFormat="false" ht="15" hidden="false" customHeight="false" outlineLevel="0" collapsed="false">
      <c r="A281" s="7" t="n">
        <v>280</v>
      </c>
      <c r="B281" s="8"/>
      <c r="C281" s="8"/>
      <c r="D281" s="7"/>
      <c r="E281" s="7"/>
      <c r="F281" s="8"/>
      <c r="G281" s="7"/>
      <c r="H281" s="7"/>
      <c r="I281" s="8"/>
      <c r="J281" s="9"/>
      <c r="K281" s="9"/>
      <c r="L281" s="7"/>
      <c r="M281" s="7"/>
      <c r="N281" s="8"/>
      <c r="O281" s="9"/>
      <c r="P281" s="9"/>
      <c r="Q281" s="9"/>
      <c r="R281" s="9"/>
      <c r="S281" s="8"/>
      <c r="T281" s="9" t="str">
        <f aca="false">IF(J281="","",EDATE(MAX(J281,K281,P281,Q281,R281),36))</f>
        <v/>
      </c>
      <c r="U281" s="9" t="str">
        <f aca="false">IF(OR(L281&lt;&gt;"Email",K281="",P281&lt;&gt;"",M281="Opposition",M281="Pas intéressé",M281="Client",M281="Rendez-vous pris",M281="Numéro erroné"),"",WORKDAY(K281,5))</f>
        <v/>
      </c>
      <c r="V281" s="9" t="str">
        <f aca="false">IF(OR(P281="",Q281&lt;&gt;"",M281="Opposition",M281="Pas intéressé",M281="Client",M281="Rendez-vous pris",M281="Numéro erroné"),"",WORKDAY(P281,7))</f>
        <v/>
      </c>
      <c r="W281" s="7" t="str">
        <f aca="true">IF(M281="Opposition","Ne pas contacter",IF(AND(U281&lt;&gt;"",U281&lt;=TODAY()),"Relance 1 à envoyer",IF(AND(V281&lt;&gt;"",V281&lt;=TODAY()),"Relance 2 à envoyer",IF(AND(O281&lt;&gt;"",O281&lt;=TODAY()),"Rappel à faire",""))))</f>
        <v/>
      </c>
    </row>
    <row r="282" customFormat="false" ht="15" hidden="false" customHeight="false" outlineLevel="0" collapsed="false">
      <c r="A282" s="7" t="n">
        <v>281</v>
      </c>
      <c r="B282" s="8"/>
      <c r="C282" s="8"/>
      <c r="D282" s="7"/>
      <c r="E282" s="7"/>
      <c r="F282" s="8"/>
      <c r="G282" s="7"/>
      <c r="H282" s="7"/>
      <c r="I282" s="8"/>
      <c r="J282" s="9"/>
      <c r="K282" s="9"/>
      <c r="L282" s="7"/>
      <c r="M282" s="7"/>
      <c r="N282" s="8"/>
      <c r="O282" s="9"/>
      <c r="P282" s="9"/>
      <c r="Q282" s="9"/>
      <c r="R282" s="9"/>
      <c r="S282" s="8"/>
      <c r="T282" s="9" t="str">
        <f aca="false">IF(J282="","",EDATE(MAX(J282,K282,P282,Q282,R282),36))</f>
        <v/>
      </c>
      <c r="U282" s="9" t="str">
        <f aca="false">IF(OR(L282&lt;&gt;"Email",K282="",P282&lt;&gt;"",M282="Opposition",M282="Pas intéressé",M282="Client",M282="Rendez-vous pris",M282="Numéro erroné"),"",WORKDAY(K282,5))</f>
        <v/>
      </c>
      <c r="V282" s="9" t="str">
        <f aca="false">IF(OR(P282="",Q282&lt;&gt;"",M282="Opposition",M282="Pas intéressé",M282="Client",M282="Rendez-vous pris",M282="Numéro erroné"),"",WORKDAY(P282,7))</f>
        <v/>
      </c>
      <c r="W282" s="7" t="str">
        <f aca="true">IF(M282="Opposition","Ne pas contacter",IF(AND(U282&lt;&gt;"",U282&lt;=TODAY()),"Relance 1 à envoyer",IF(AND(V282&lt;&gt;"",V282&lt;=TODAY()),"Relance 2 à envoyer",IF(AND(O282&lt;&gt;"",O282&lt;=TODAY()),"Rappel à faire",""))))</f>
        <v/>
      </c>
    </row>
    <row r="283" customFormat="false" ht="15" hidden="false" customHeight="false" outlineLevel="0" collapsed="false">
      <c r="A283" s="7" t="n">
        <v>282</v>
      </c>
      <c r="B283" s="8"/>
      <c r="C283" s="8"/>
      <c r="D283" s="7"/>
      <c r="E283" s="7"/>
      <c r="F283" s="8"/>
      <c r="G283" s="7"/>
      <c r="H283" s="7"/>
      <c r="I283" s="8"/>
      <c r="J283" s="9"/>
      <c r="K283" s="9"/>
      <c r="L283" s="7"/>
      <c r="M283" s="7"/>
      <c r="N283" s="8"/>
      <c r="O283" s="9"/>
      <c r="P283" s="9"/>
      <c r="Q283" s="9"/>
      <c r="R283" s="9"/>
      <c r="S283" s="8"/>
      <c r="T283" s="9" t="str">
        <f aca="false">IF(J283="","",EDATE(MAX(J283,K283,P283,Q283,R283),36))</f>
        <v/>
      </c>
      <c r="U283" s="9" t="str">
        <f aca="false">IF(OR(L283&lt;&gt;"Email",K283="",P283&lt;&gt;"",M283="Opposition",M283="Pas intéressé",M283="Client",M283="Rendez-vous pris",M283="Numéro erroné"),"",WORKDAY(K283,5))</f>
        <v/>
      </c>
      <c r="V283" s="9" t="str">
        <f aca="false">IF(OR(P283="",Q283&lt;&gt;"",M283="Opposition",M283="Pas intéressé",M283="Client",M283="Rendez-vous pris",M283="Numéro erroné"),"",WORKDAY(P283,7))</f>
        <v/>
      </c>
      <c r="W283" s="7" t="str">
        <f aca="true">IF(M283="Opposition","Ne pas contacter",IF(AND(U283&lt;&gt;"",U283&lt;=TODAY()),"Relance 1 à envoyer",IF(AND(V283&lt;&gt;"",V283&lt;=TODAY()),"Relance 2 à envoyer",IF(AND(O283&lt;&gt;"",O283&lt;=TODAY()),"Rappel à faire",""))))</f>
        <v/>
      </c>
    </row>
    <row r="284" customFormat="false" ht="15" hidden="false" customHeight="false" outlineLevel="0" collapsed="false">
      <c r="A284" s="7" t="n">
        <v>283</v>
      </c>
      <c r="B284" s="8"/>
      <c r="C284" s="8"/>
      <c r="D284" s="7"/>
      <c r="E284" s="7"/>
      <c r="F284" s="8"/>
      <c r="G284" s="7"/>
      <c r="H284" s="7"/>
      <c r="I284" s="8"/>
      <c r="J284" s="9"/>
      <c r="K284" s="9"/>
      <c r="L284" s="7"/>
      <c r="M284" s="7"/>
      <c r="N284" s="8"/>
      <c r="O284" s="9"/>
      <c r="P284" s="9"/>
      <c r="Q284" s="9"/>
      <c r="R284" s="9"/>
      <c r="S284" s="8"/>
      <c r="T284" s="9" t="str">
        <f aca="false">IF(J284="","",EDATE(MAX(J284,K284,P284,Q284,R284),36))</f>
        <v/>
      </c>
      <c r="U284" s="9" t="str">
        <f aca="false">IF(OR(L284&lt;&gt;"Email",K284="",P284&lt;&gt;"",M284="Opposition",M284="Pas intéressé",M284="Client",M284="Rendez-vous pris",M284="Numéro erroné"),"",WORKDAY(K284,5))</f>
        <v/>
      </c>
      <c r="V284" s="9" t="str">
        <f aca="false">IF(OR(P284="",Q284&lt;&gt;"",M284="Opposition",M284="Pas intéressé",M284="Client",M284="Rendez-vous pris",M284="Numéro erroné"),"",WORKDAY(P284,7))</f>
        <v/>
      </c>
      <c r="W284" s="7" t="str">
        <f aca="true">IF(M284="Opposition","Ne pas contacter",IF(AND(U284&lt;&gt;"",U284&lt;=TODAY()),"Relance 1 à envoyer",IF(AND(V284&lt;&gt;"",V284&lt;=TODAY()),"Relance 2 à envoyer",IF(AND(O284&lt;&gt;"",O284&lt;=TODAY()),"Rappel à faire",""))))</f>
        <v/>
      </c>
    </row>
    <row r="285" customFormat="false" ht="15" hidden="false" customHeight="false" outlineLevel="0" collapsed="false">
      <c r="A285" s="7" t="n">
        <v>284</v>
      </c>
      <c r="B285" s="8"/>
      <c r="C285" s="8"/>
      <c r="D285" s="7"/>
      <c r="E285" s="7"/>
      <c r="F285" s="8"/>
      <c r="G285" s="7"/>
      <c r="H285" s="7"/>
      <c r="I285" s="8"/>
      <c r="J285" s="9"/>
      <c r="K285" s="9"/>
      <c r="L285" s="7"/>
      <c r="M285" s="7"/>
      <c r="N285" s="8"/>
      <c r="O285" s="9"/>
      <c r="P285" s="9"/>
      <c r="Q285" s="9"/>
      <c r="R285" s="9"/>
      <c r="S285" s="8"/>
      <c r="T285" s="9" t="str">
        <f aca="false">IF(J285="","",EDATE(MAX(J285,K285,P285,Q285,R285),36))</f>
        <v/>
      </c>
      <c r="U285" s="9" t="str">
        <f aca="false">IF(OR(L285&lt;&gt;"Email",K285="",P285&lt;&gt;"",M285="Opposition",M285="Pas intéressé",M285="Client",M285="Rendez-vous pris",M285="Numéro erroné"),"",WORKDAY(K285,5))</f>
        <v/>
      </c>
      <c r="V285" s="9" t="str">
        <f aca="false">IF(OR(P285="",Q285&lt;&gt;"",M285="Opposition",M285="Pas intéressé",M285="Client",M285="Rendez-vous pris",M285="Numéro erroné"),"",WORKDAY(P285,7))</f>
        <v/>
      </c>
      <c r="W285" s="7" t="str">
        <f aca="true">IF(M285="Opposition","Ne pas contacter",IF(AND(U285&lt;&gt;"",U285&lt;=TODAY()),"Relance 1 à envoyer",IF(AND(V285&lt;&gt;"",V285&lt;=TODAY()),"Relance 2 à envoyer",IF(AND(O285&lt;&gt;"",O285&lt;=TODAY()),"Rappel à faire",""))))</f>
        <v/>
      </c>
    </row>
    <row r="286" customFormat="false" ht="15" hidden="false" customHeight="false" outlineLevel="0" collapsed="false">
      <c r="A286" s="7" t="n">
        <v>285</v>
      </c>
      <c r="B286" s="8"/>
      <c r="C286" s="8"/>
      <c r="D286" s="7"/>
      <c r="E286" s="7"/>
      <c r="F286" s="8"/>
      <c r="G286" s="7"/>
      <c r="H286" s="7"/>
      <c r="I286" s="8"/>
      <c r="J286" s="9"/>
      <c r="K286" s="9"/>
      <c r="L286" s="7"/>
      <c r="M286" s="7"/>
      <c r="N286" s="8"/>
      <c r="O286" s="9"/>
      <c r="P286" s="9"/>
      <c r="Q286" s="9"/>
      <c r="R286" s="9"/>
      <c r="S286" s="8"/>
      <c r="T286" s="9" t="str">
        <f aca="false">IF(J286="","",EDATE(MAX(J286,K286,P286,Q286,R286),36))</f>
        <v/>
      </c>
      <c r="U286" s="9" t="str">
        <f aca="false">IF(OR(L286&lt;&gt;"Email",K286="",P286&lt;&gt;"",M286="Opposition",M286="Pas intéressé",M286="Client",M286="Rendez-vous pris",M286="Numéro erroné"),"",WORKDAY(K286,5))</f>
        <v/>
      </c>
      <c r="V286" s="9" t="str">
        <f aca="false">IF(OR(P286="",Q286&lt;&gt;"",M286="Opposition",M286="Pas intéressé",M286="Client",M286="Rendez-vous pris",M286="Numéro erroné"),"",WORKDAY(P286,7))</f>
        <v/>
      </c>
      <c r="W286" s="7" t="str">
        <f aca="true">IF(M286="Opposition","Ne pas contacter",IF(AND(U286&lt;&gt;"",U286&lt;=TODAY()),"Relance 1 à envoyer",IF(AND(V286&lt;&gt;"",V286&lt;=TODAY()),"Relance 2 à envoyer",IF(AND(O286&lt;&gt;"",O286&lt;=TODAY()),"Rappel à faire",""))))</f>
        <v/>
      </c>
    </row>
    <row r="287" customFormat="false" ht="15" hidden="false" customHeight="false" outlineLevel="0" collapsed="false">
      <c r="A287" s="7" t="n">
        <v>286</v>
      </c>
      <c r="B287" s="8"/>
      <c r="C287" s="8"/>
      <c r="D287" s="7"/>
      <c r="E287" s="7"/>
      <c r="F287" s="8"/>
      <c r="G287" s="7"/>
      <c r="H287" s="7"/>
      <c r="I287" s="8"/>
      <c r="J287" s="9"/>
      <c r="K287" s="9"/>
      <c r="L287" s="7"/>
      <c r="M287" s="7"/>
      <c r="N287" s="8"/>
      <c r="O287" s="9"/>
      <c r="P287" s="9"/>
      <c r="Q287" s="9"/>
      <c r="R287" s="9"/>
      <c r="S287" s="8"/>
      <c r="T287" s="9" t="str">
        <f aca="false">IF(J287="","",EDATE(MAX(J287,K287,P287,Q287,R287),36))</f>
        <v/>
      </c>
      <c r="U287" s="9" t="str">
        <f aca="false">IF(OR(L287&lt;&gt;"Email",K287="",P287&lt;&gt;"",M287="Opposition",M287="Pas intéressé",M287="Client",M287="Rendez-vous pris",M287="Numéro erroné"),"",WORKDAY(K287,5))</f>
        <v/>
      </c>
      <c r="V287" s="9" t="str">
        <f aca="false">IF(OR(P287="",Q287&lt;&gt;"",M287="Opposition",M287="Pas intéressé",M287="Client",M287="Rendez-vous pris",M287="Numéro erroné"),"",WORKDAY(P287,7))</f>
        <v/>
      </c>
      <c r="W287" s="7" t="str">
        <f aca="true">IF(M287="Opposition","Ne pas contacter",IF(AND(U287&lt;&gt;"",U287&lt;=TODAY()),"Relance 1 à envoyer",IF(AND(V287&lt;&gt;"",V287&lt;=TODAY()),"Relance 2 à envoyer",IF(AND(O287&lt;&gt;"",O287&lt;=TODAY()),"Rappel à faire",""))))</f>
        <v/>
      </c>
    </row>
    <row r="288" customFormat="false" ht="15" hidden="false" customHeight="false" outlineLevel="0" collapsed="false">
      <c r="A288" s="7" t="n">
        <v>287</v>
      </c>
      <c r="B288" s="8"/>
      <c r="C288" s="8"/>
      <c r="D288" s="7"/>
      <c r="E288" s="7"/>
      <c r="F288" s="8"/>
      <c r="G288" s="7"/>
      <c r="H288" s="7"/>
      <c r="I288" s="8"/>
      <c r="J288" s="9"/>
      <c r="K288" s="9"/>
      <c r="L288" s="7"/>
      <c r="M288" s="7"/>
      <c r="N288" s="8"/>
      <c r="O288" s="9"/>
      <c r="P288" s="9"/>
      <c r="Q288" s="9"/>
      <c r="R288" s="9"/>
      <c r="S288" s="8"/>
      <c r="T288" s="9" t="str">
        <f aca="false">IF(J288="","",EDATE(MAX(J288,K288,P288,Q288,R288),36))</f>
        <v/>
      </c>
      <c r="U288" s="9" t="str">
        <f aca="false">IF(OR(L288&lt;&gt;"Email",K288="",P288&lt;&gt;"",M288="Opposition",M288="Pas intéressé",M288="Client",M288="Rendez-vous pris",M288="Numéro erroné"),"",WORKDAY(K288,5))</f>
        <v/>
      </c>
      <c r="V288" s="9" t="str">
        <f aca="false">IF(OR(P288="",Q288&lt;&gt;"",M288="Opposition",M288="Pas intéressé",M288="Client",M288="Rendez-vous pris",M288="Numéro erroné"),"",WORKDAY(P288,7))</f>
        <v/>
      </c>
      <c r="W288" s="7" t="str">
        <f aca="true">IF(M288="Opposition","Ne pas contacter",IF(AND(U288&lt;&gt;"",U288&lt;=TODAY()),"Relance 1 à envoyer",IF(AND(V288&lt;&gt;"",V288&lt;=TODAY()),"Relance 2 à envoyer",IF(AND(O288&lt;&gt;"",O288&lt;=TODAY()),"Rappel à faire",""))))</f>
        <v/>
      </c>
    </row>
    <row r="289" customFormat="false" ht="15" hidden="false" customHeight="false" outlineLevel="0" collapsed="false">
      <c r="A289" s="7" t="n">
        <v>288</v>
      </c>
      <c r="B289" s="8"/>
      <c r="C289" s="8"/>
      <c r="D289" s="7"/>
      <c r="E289" s="7"/>
      <c r="F289" s="8"/>
      <c r="G289" s="7"/>
      <c r="H289" s="7"/>
      <c r="I289" s="8"/>
      <c r="J289" s="9"/>
      <c r="K289" s="9"/>
      <c r="L289" s="7"/>
      <c r="M289" s="7"/>
      <c r="N289" s="8"/>
      <c r="O289" s="9"/>
      <c r="P289" s="9"/>
      <c r="Q289" s="9"/>
      <c r="R289" s="9"/>
      <c r="S289" s="8"/>
      <c r="T289" s="9" t="str">
        <f aca="false">IF(J289="","",EDATE(MAX(J289,K289,P289,Q289,R289),36))</f>
        <v/>
      </c>
      <c r="U289" s="9" t="str">
        <f aca="false">IF(OR(L289&lt;&gt;"Email",K289="",P289&lt;&gt;"",M289="Opposition",M289="Pas intéressé",M289="Client",M289="Rendez-vous pris",M289="Numéro erroné"),"",WORKDAY(K289,5))</f>
        <v/>
      </c>
      <c r="V289" s="9" t="str">
        <f aca="false">IF(OR(P289="",Q289&lt;&gt;"",M289="Opposition",M289="Pas intéressé",M289="Client",M289="Rendez-vous pris",M289="Numéro erroné"),"",WORKDAY(P289,7))</f>
        <v/>
      </c>
      <c r="W289" s="7" t="str">
        <f aca="true">IF(M289="Opposition","Ne pas contacter",IF(AND(U289&lt;&gt;"",U289&lt;=TODAY()),"Relance 1 à envoyer",IF(AND(V289&lt;&gt;"",V289&lt;=TODAY()),"Relance 2 à envoyer",IF(AND(O289&lt;&gt;"",O289&lt;=TODAY()),"Rappel à faire",""))))</f>
        <v/>
      </c>
    </row>
    <row r="290" customFormat="false" ht="15" hidden="false" customHeight="false" outlineLevel="0" collapsed="false">
      <c r="A290" s="7" t="n">
        <v>289</v>
      </c>
      <c r="B290" s="8"/>
      <c r="C290" s="8"/>
      <c r="D290" s="7"/>
      <c r="E290" s="7"/>
      <c r="F290" s="8"/>
      <c r="G290" s="7"/>
      <c r="H290" s="7"/>
      <c r="I290" s="8"/>
      <c r="J290" s="9"/>
      <c r="K290" s="9"/>
      <c r="L290" s="7"/>
      <c r="M290" s="7"/>
      <c r="N290" s="8"/>
      <c r="O290" s="9"/>
      <c r="P290" s="9"/>
      <c r="Q290" s="9"/>
      <c r="R290" s="9"/>
      <c r="S290" s="8"/>
      <c r="T290" s="9" t="str">
        <f aca="false">IF(J290="","",EDATE(MAX(J290,K290,P290,Q290,R290),36))</f>
        <v/>
      </c>
      <c r="U290" s="9" t="str">
        <f aca="false">IF(OR(L290&lt;&gt;"Email",K290="",P290&lt;&gt;"",M290="Opposition",M290="Pas intéressé",M290="Client",M290="Rendez-vous pris",M290="Numéro erroné"),"",WORKDAY(K290,5))</f>
        <v/>
      </c>
      <c r="V290" s="9" t="str">
        <f aca="false">IF(OR(P290="",Q290&lt;&gt;"",M290="Opposition",M290="Pas intéressé",M290="Client",M290="Rendez-vous pris",M290="Numéro erroné"),"",WORKDAY(P290,7))</f>
        <v/>
      </c>
      <c r="W290" s="7" t="str">
        <f aca="true">IF(M290="Opposition","Ne pas contacter",IF(AND(U290&lt;&gt;"",U290&lt;=TODAY()),"Relance 1 à envoyer",IF(AND(V290&lt;&gt;"",V290&lt;=TODAY()),"Relance 2 à envoyer",IF(AND(O290&lt;&gt;"",O290&lt;=TODAY()),"Rappel à faire",""))))</f>
        <v/>
      </c>
    </row>
    <row r="291" customFormat="false" ht="15" hidden="false" customHeight="false" outlineLevel="0" collapsed="false">
      <c r="A291" s="7" t="n">
        <v>290</v>
      </c>
      <c r="B291" s="8"/>
      <c r="C291" s="8"/>
      <c r="D291" s="7"/>
      <c r="E291" s="7"/>
      <c r="F291" s="8"/>
      <c r="G291" s="7"/>
      <c r="H291" s="7"/>
      <c r="I291" s="8"/>
      <c r="J291" s="9"/>
      <c r="K291" s="9"/>
      <c r="L291" s="7"/>
      <c r="M291" s="7"/>
      <c r="N291" s="8"/>
      <c r="O291" s="9"/>
      <c r="P291" s="9"/>
      <c r="Q291" s="9"/>
      <c r="R291" s="9"/>
      <c r="S291" s="8"/>
      <c r="T291" s="9" t="str">
        <f aca="false">IF(J291="","",EDATE(MAX(J291,K291,P291,Q291,R291),36))</f>
        <v/>
      </c>
      <c r="U291" s="9" t="str">
        <f aca="false">IF(OR(L291&lt;&gt;"Email",K291="",P291&lt;&gt;"",M291="Opposition",M291="Pas intéressé",M291="Client",M291="Rendez-vous pris",M291="Numéro erroné"),"",WORKDAY(K291,5))</f>
        <v/>
      </c>
      <c r="V291" s="9" t="str">
        <f aca="false">IF(OR(P291="",Q291&lt;&gt;"",M291="Opposition",M291="Pas intéressé",M291="Client",M291="Rendez-vous pris",M291="Numéro erroné"),"",WORKDAY(P291,7))</f>
        <v/>
      </c>
      <c r="W291" s="7" t="str">
        <f aca="true">IF(M291="Opposition","Ne pas contacter",IF(AND(U291&lt;&gt;"",U291&lt;=TODAY()),"Relance 1 à envoyer",IF(AND(V291&lt;&gt;"",V291&lt;=TODAY()),"Relance 2 à envoyer",IF(AND(O291&lt;&gt;"",O291&lt;=TODAY()),"Rappel à faire",""))))</f>
        <v/>
      </c>
    </row>
    <row r="292" customFormat="false" ht="15" hidden="false" customHeight="false" outlineLevel="0" collapsed="false">
      <c r="A292" s="7" t="n">
        <v>291</v>
      </c>
      <c r="B292" s="8"/>
      <c r="C292" s="8"/>
      <c r="D292" s="7"/>
      <c r="E292" s="7"/>
      <c r="F292" s="8"/>
      <c r="G292" s="7"/>
      <c r="H292" s="7"/>
      <c r="I292" s="8"/>
      <c r="J292" s="9"/>
      <c r="K292" s="9"/>
      <c r="L292" s="7"/>
      <c r="M292" s="7"/>
      <c r="N292" s="8"/>
      <c r="O292" s="9"/>
      <c r="P292" s="9"/>
      <c r="Q292" s="9"/>
      <c r="R292" s="9"/>
      <c r="S292" s="8"/>
      <c r="T292" s="9" t="str">
        <f aca="false">IF(J292="","",EDATE(MAX(J292,K292,P292,Q292,R292),36))</f>
        <v/>
      </c>
      <c r="U292" s="9" t="str">
        <f aca="false">IF(OR(L292&lt;&gt;"Email",K292="",P292&lt;&gt;"",M292="Opposition",M292="Pas intéressé",M292="Client",M292="Rendez-vous pris",M292="Numéro erroné"),"",WORKDAY(K292,5))</f>
        <v/>
      </c>
      <c r="V292" s="9" t="str">
        <f aca="false">IF(OR(P292="",Q292&lt;&gt;"",M292="Opposition",M292="Pas intéressé",M292="Client",M292="Rendez-vous pris",M292="Numéro erroné"),"",WORKDAY(P292,7))</f>
        <v/>
      </c>
      <c r="W292" s="7" t="str">
        <f aca="true">IF(M292="Opposition","Ne pas contacter",IF(AND(U292&lt;&gt;"",U292&lt;=TODAY()),"Relance 1 à envoyer",IF(AND(V292&lt;&gt;"",V292&lt;=TODAY()),"Relance 2 à envoyer",IF(AND(O292&lt;&gt;"",O292&lt;=TODAY()),"Rappel à faire",""))))</f>
        <v/>
      </c>
    </row>
    <row r="293" customFormat="false" ht="15" hidden="false" customHeight="false" outlineLevel="0" collapsed="false">
      <c r="A293" s="7" t="n">
        <v>292</v>
      </c>
      <c r="B293" s="8"/>
      <c r="C293" s="8"/>
      <c r="D293" s="7"/>
      <c r="E293" s="7"/>
      <c r="F293" s="8"/>
      <c r="G293" s="7"/>
      <c r="H293" s="7"/>
      <c r="I293" s="8"/>
      <c r="J293" s="9"/>
      <c r="K293" s="9"/>
      <c r="L293" s="7"/>
      <c r="M293" s="7"/>
      <c r="N293" s="8"/>
      <c r="O293" s="9"/>
      <c r="P293" s="9"/>
      <c r="Q293" s="9"/>
      <c r="R293" s="9"/>
      <c r="S293" s="8"/>
      <c r="T293" s="9" t="str">
        <f aca="false">IF(J293="","",EDATE(MAX(J293,K293,P293,Q293,R293),36))</f>
        <v/>
      </c>
      <c r="U293" s="9" t="str">
        <f aca="false">IF(OR(L293&lt;&gt;"Email",K293="",P293&lt;&gt;"",M293="Opposition",M293="Pas intéressé",M293="Client",M293="Rendez-vous pris",M293="Numéro erroné"),"",WORKDAY(K293,5))</f>
        <v/>
      </c>
      <c r="V293" s="9" t="str">
        <f aca="false">IF(OR(P293="",Q293&lt;&gt;"",M293="Opposition",M293="Pas intéressé",M293="Client",M293="Rendez-vous pris",M293="Numéro erroné"),"",WORKDAY(P293,7))</f>
        <v/>
      </c>
      <c r="W293" s="7" t="str">
        <f aca="true">IF(M293="Opposition","Ne pas contacter",IF(AND(U293&lt;&gt;"",U293&lt;=TODAY()),"Relance 1 à envoyer",IF(AND(V293&lt;&gt;"",V293&lt;=TODAY()),"Relance 2 à envoyer",IF(AND(O293&lt;&gt;"",O293&lt;=TODAY()),"Rappel à faire",""))))</f>
        <v/>
      </c>
    </row>
    <row r="294" customFormat="false" ht="15" hidden="false" customHeight="false" outlineLevel="0" collapsed="false">
      <c r="A294" s="7" t="n">
        <v>293</v>
      </c>
      <c r="B294" s="8"/>
      <c r="C294" s="8"/>
      <c r="D294" s="7"/>
      <c r="E294" s="7"/>
      <c r="F294" s="8"/>
      <c r="G294" s="7"/>
      <c r="H294" s="7"/>
      <c r="I294" s="8"/>
      <c r="J294" s="9"/>
      <c r="K294" s="9"/>
      <c r="L294" s="7"/>
      <c r="M294" s="7"/>
      <c r="N294" s="8"/>
      <c r="O294" s="9"/>
      <c r="P294" s="9"/>
      <c r="Q294" s="9"/>
      <c r="R294" s="9"/>
      <c r="S294" s="8"/>
      <c r="T294" s="9" t="str">
        <f aca="false">IF(J294="","",EDATE(MAX(J294,K294,P294,Q294,R294),36))</f>
        <v/>
      </c>
      <c r="U294" s="9" t="str">
        <f aca="false">IF(OR(L294&lt;&gt;"Email",K294="",P294&lt;&gt;"",M294="Opposition",M294="Pas intéressé",M294="Client",M294="Rendez-vous pris",M294="Numéro erroné"),"",WORKDAY(K294,5))</f>
        <v/>
      </c>
      <c r="V294" s="9" t="str">
        <f aca="false">IF(OR(P294="",Q294&lt;&gt;"",M294="Opposition",M294="Pas intéressé",M294="Client",M294="Rendez-vous pris",M294="Numéro erroné"),"",WORKDAY(P294,7))</f>
        <v/>
      </c>
      <c r="W294" s="7" t="str">
        <f aca="true">IF(M294="Opposition","Ne pas contacter",IF(AND(U294&lt;&gt;"",U294&lt;=TODAY()),"Relance 1 à envoyer",IF(AND(V294&lt;&gt;"",V294&lt;=TODAY()),"Relance 2 à envoyer",IF(AND(O294&lt;&gt;"",O294&lt;=TODAY()),"Rappel à faire",""))))</f>
        <v/>
      </c>
    </row>
    <row r="295" customFormat="false" ht="15" hidden="false" customHeight="false" outlineLevel="0" collapsed="false">
      <c r="A295" s="7" t="n">
        <v>294</v>
      </c>
      <c r="B295" s="8"/>
      <c r="C295" s="8"/>
      <c r="D295" s="7"/>
      <c r="E295" s="7"/>
      <c r="F295" s="8"/>
      <c r="G295" s="7"/>
      <c r="H295" s="7"/>
      <c r="I295" s="8"/>
      <c r="J295" s="9"/>
      <c r="K295" s="9"/>
      <c r="L295" s="7"/>
      <c r="M295" s="7"/>
      <c r="N295" s="8"/>
      <c r="O295" s="9"/>
      <c r="P295" s="9"/>
      <c r="Q295" s="9"/>
      <c r="R295" s="9"/>
      <c r="S295" s="8"/>
      <c r="T295" s="9" t="str">
        <f aca="false">IF(J295="","",EDATE(MAX(J295,K295,P295,Q295,R295),36))</f>
        <v/>
      </c>
      <c r="U295" s="9" t="str">
        <f aca="false">IF(OR(L295&lt;&gt;"Email",K295="",P295&lt;&gt;"",M295="Opposition",M295="Pas intéressé",M295="Client",M295="Rendez-vous pris",M295="Numéro erroné"),"",WORKDAY(K295,5))</f>
        <v/>
      </c>
      <c r="V295" s="9" t="str">
        <f aca="false">IF(OR(P295="",Q295&lt;&gt;"",M295="Opposition",M295="Pas intéressé",M295="Client",M295="Rendez-vous pris",M295="Numéro erroné"),"",WORKDAY(P295,7))</f>
        <v/>
      </c>
      <c r="W295" s="7" t="str">
        <f aca="true">IF(M295="Opposition","Ne pas contacter",IF(AND(U295&lt;&gt;"",U295&lt;=TODAY()),"Relance 1 à envoyer",IF(AND(V295&lt;&gt;"",V295&lt;=TODAY()),"Relance 2 à envoyer",IF(AND(O295&lt;&gt;"",O295&lt;=TODAY()),"Rappel à faire",""))))</f>
        <v/>
      </c>
    </row>
    <row r="296" customFormat="false" ht="15" hidden="false" customHeight="false" outlineLevel="0" collapsed="false">
      <c r="A296" s="7" t="n">
        <v>295</v>
      </c>
      <c r="B296" s="8"/>
      <c r="C296" s="8"/>
      <c r="D296" s="7"/>
      <c r="E296" s="7"/>
      <c r="F296" s="8"/>
      <c r="G296" s="7"/>
      <c r="H296" s="7"/>
      <c r="I296" s="8"/>
      <c r="J296" s="9"/>
      <c r="K296" s="9"/>
      <c r="L296" s="7"/>
      <c r="M296" s="7"/>
      <c r="N296" s="8"/>
      <c r="O296" s="9"/>
      <c r="P296" s="9"/>
      <c r="Q296" s="9"/>
      <c r="R296" s="9"/>
      <c r="S296" s="8"/>
      <c r="T296" s="9" t="str">
        <f aca="false">IF(J296="","",EDATE(MAX(J296,K296,P296,Q296,R296),36))</f>
        <v/>
      </c>
      <c r="U296" s="9" t="str">
        <f aca="false">IF(OR(L296&lt;&gt;"Email",K296="",P296&lt;&gt;"",M296="Opposition",M296="Pas intéressé",M296="Client",M296="Rendez-vous pris",M296="Numéro erroné"),"",WORKDAY(K296,5))</f>
        <v/>
      </c>
      <c r="V296" s="9" t="str">
        <f aca="false">IF(OR(P296="",Q296&lt;&gt;"",M296="Opposition",M296="Pas intéressé",M296="Client",M296="Rendez-vous pris",M296="Numéro erroné"),"",WORKDAY(P296,7))</f>
        <v/>
      </c>
      <c r="W296" s="7" t="str">
        <f aca="true">IF(M296="Opposition","Ne pas contacter",IF(AND(U296&lt;&gt;"",U296&lt;=TODAY()),"Relance 1 à envoyer",IF(AND(V296&lt;&gt;"",V296&lt;=TODAY()),"Relance 2 à envoyer",IF(AND(O296&lt;&gt;"",O296&lt;=TODAY()),"Rappel à faire",""))))</f>
        <v/>
      </c>
    </row>
    <row r="297" customFormat="false" ht="15" hidden="false" customHeight="false" outlineLevel="0" collapsed="false">
      <c r="A297" s="7" t="n">
        <v>296</v>
      </c>
      <c r="B297" s="8"/>
      <c r="C297" s="8"/>
      <c r="D297" s="7"/>
      <c r="E297" s="7"/>
      <c r="F297" s="8"/>
      <c r="G297" s="7"/>
      <c r="H297" s="7"/>
      <c r="I297" s="8"/>
      <c r="J297" s="9"/>
      <c r="K297" s="9"/>
      <c r="L297" s="7"/>
      <c r="M297" s="7"/>
      <c r="N297" s="8"/>
      <c r="O297" s="9"/>
      <c r="P297" s="9"/>
      <c r="Q297" s="9"/>
      <c r="R297" s="9"/>
      <c r="S297" s="8"/>
      <c r="T297" s="9" t="str">
        <f aca="false">IF(J297="","",EDATE(MAX(J297,K297,P297,Q297,R297),36))</f>
        <v/>
      </c>
      <c r="U297" s="9" t="str">
        <f aca="false">IF(OR(L297&lt;&gt;"Email",K297="",P297&lt;&gt;"",M297="Opposition",M297="Pas intéressé",M297="Client",M297="Rendez-vous pris",M297="Numéro erroné"),"",WORKDAY(K297,5))</f>
        <v/>
      </c>
      <c r="V297" s="9" t="str">
        <f aca="false">IF(OR(P297="",Q297&lt;&gt;"",M297="Opposition",M297="Pas intéressé",M297="Client",M297="Rendez-vous pris",M297="Numéro erroné"),"",WORKDAY(P297,7))</f>
        <v/>
      </c>
      <c r="W297" s="7" t="str">
        <f aca="true">IF(M297="Opposition","Ne pas contacter",IF(AND(U297&lt;&gt;"",U297&lt;=TODAY()),"Relance 1 à envoyer",IF(AND(V297&lt;&gt;"",V297&lt;=TODAY()),"Relance 2 à envoyer",IF(AND(O297&lt;&gt;"",O297&lt;=TODAY()),"Rappel à faire",""))))</f>
        <v/>
      </c>
    </row>
    <row r="298" customFormat="false" ht="15" hidden="false" customHeight="false" outlineLevel="0" collapsed="false">
      <c r="A298" s="7" t="n">
        <v>297</v>
      </c>
      <c r="B298" s="8"/>
      <c r="C298" s="8"/>
      <c r="D298" s="7"/>
      <c r="E298" s="7"/>
      <c r="F298" s="8"/>
      <c r="G298" s="7"/>
      <c r="H298" s="7"/>
      <c r="I298" s="8"/>
      <c r="J298" s="9"/>
      <c r="K298" s="9"/>
      <c r="L298" s="7"/>
      <c r="M298" s="7"/>
      <c r="N298" s="8"/>
      <c r="O298" s="9"/>
      <c r="P298" s="9"/>
      <c r="Q298" s="9"/>
      <c r="R298" s="9"/>
      <c r="S298" s="8"/>
      <c r="T298" s="9" t="str">
        <f aca="false">IF(J298="","",EDATE(MAX(J298,K298,P298,Q298,R298),36))</f>
        <v/>
      </c>
      <c r="U298" s="9" t="str">
        <f aca="false">IF(OR(L298&lt;&gt;"Email",K298="",P298&lt;&gt;"",M298="Opposition",M298="Pas intéressé",M298="Client",M298="Rendez-vous pris",M298="Numéro erroné"),"",WORKDAY(K298,5))</f>
        <v/>
      </c>
      <c r="V298" s="9" t="str">
        <f aca="false">IF(OR(P298="",Q298&lt;&gt;"",M298="Opposition",M298="Pas intéressé",M298="Client",M298="Rendez-vous pris",M298="Numéro erroné"),"",WORKDAY(P298,7))</f>
        <v/>
      </c>
      <c r="W298" s="7" t="str">
        <f aca="true">IF(M298="Opposition","Ne pas contacter",IF(AND(U298&lt;&gt;"",U298&lt;=TODAY()),"Relance 1 à envoyer",IF(AND(V298&lt;&gt;"",V298&lt;=TODAY()),"Relance 2 à envoyer",IF(AND(O298&lt;&gt;"",O298&lt;=TODAY()),"Rappel à faire",""))))</f>
        <v/>
      </c>
    </row>
    <row r="299" customFormat="false" ht="15" hidden="false" customHeight="false" outlineLevel="0" collapsed="false">
      <c r="A299" s="7" t="n">
        <v>298</v>
      </c>
      <c r="B299" s="8"/>
      <c r="C299" s="8"/>
      <c r="D299" s="7"/>
      <c r="E299" s="7"/>
      <c r="F299" s="8"/>
      <c r="G299" s="7"/>
      <c r="H299" s="7"/>
      <c r="I299" s="8"/>
      <c r="J299" s="9"/>
      <c r="K299" s="9"/>
      <c r="L299" s="7"/>
      <c r="M299" s="7"/>
      <c r="N299" s="8"/>
      <c r="O299" s="9"/>
      <c r="P299" s="9"/>
      <c r="Q299" s="9"/>
      <c r="R299" s="9"/>
      <c r="S299" s="8"/>
      <c r="T299" s="9" t="str">
        <f aca="false">IF(J299="","",EDATE(MAX(J299,K299,P299,Q299,R299),36))</f>
        <v/>
      </c>
      <c r="U299" s="9" t="str">
        <f aca="false">IF(OR(L299&lt;&gt;"Email",K299="",P299&lt;&gt;"",M299="Opposition",M299="Pas intéressé",M299="Client",M299="Rendez-vous pris",M299="Numéro erroné"),"",WORKDAY(K299,5))</f>
        <v/>
      </c>
      <c r="V299" s="9" t="str">
        <f aca="false">IF(OR(P299="",Q299&lt;&gt;"",M299="Opposition",M299="Pas intéressé",M299="Client",M299="Rendez-vous pris",M299="Numéro erroné"),"",WORKDAY(P299,7))</f>
        <v/>
      </c>
      <c r="W299" s="7" t="str">
        <f aca="true">IF(M299="Opposition","Ne pas contacter",IF(AND(U299&lt;&gt;"",U299&lt;=TODAY()),"Relance 1 à envoyer",IF(AND(V299&lt;&gt;"",V299&lt;=TODAY()),"Relance 2 à envoyer",IF(AND(O299&lt;&gt;"",O299&lt;=TODAY()),"Rappel à faire",""))))</f>
        <v/>
      </c>
    </row>
    <row r="300" customFormat="false" ht="15" hidden="false" customHeight="false" outlineLevel="0" collapsed="false">
      <c r="A300" s="7" t="n">
        <v>299</v>
      </c>
      <c r="B300" s="8"/>
      <c r="C300" s="8"/>
      <c r="D300" s="7"/>
      <c r="E300" s="7"/>
      <c r="F300" s="8"/>
      <c r="G300" s="7"/>
      <c r="H300" s="7"/>
      <c r="I300" s="8"/>
      <c r="J300" s="9"/>
      <c r="K300" s="9"/>
      <c r="L300" s="7"/>
      <c r="M300" s="7"/>
      <c r="N300" s="8"/>
      <c r="O300" s="9"/>
      <c r="P300" s="9"/>
      <c r="Q300" s="9"/>
      <c r="R300" s="9"/>
      <c r="S300" s="8"/>
      <c r="T300" s="9" t="str">
        <f aca="false">IF(J300="","",EDATE(MAX(J300,K300,P300,Q300,R300),36))</f>
        <v/>
      </c>
      <c r="U300" s="9" t="str">
        <f aca="false">IF(OR(L300&lt;&gt;"Email",K300="",P300&lt;&gt;"",M300="Opposition",M300="Pas intéressé",M300="Client",M300="Rendez-vous pris",M300="Numéro erroné"),"",WORKDAY(K300,5))</f>
        <v/>
      </c>
      <c r="V300" s="9" t="str">
        <f aca="false">IF(OR(P300="",Q300&lt;&gt;"",M300="Opposition",M300="Pas intéressé",M300="Client",M300="Rendez-vous pris",M300="Numéro erroné"),"",WORKDAY(P300,7))</f>
        <v/>
      </c>
      <c r="W300" s="7" t="str">
        <f aca="true">IF(M300="Opposition","Ne pas contacter",IF(AND(U300&lt;&gt;"",U300&lt;=TODAY()),"Relance 1 à envoyer",IF(AND(V300&lt;&gt;"",V300&lt;=TODAY()),"Relance 2 à envoyer",IF(AND(O300&lt;&gt;"",O300&lt;=TODAY()),"Rappel à faire",""))))</f>
        <v/>
      </c>
    </row>
    <row r="301" customFormat="false" ht="15" hidden="false" customHeight="false" outlineLevel="0" collapsed="false">
      <c r="A301" s="7" t="n">
        <v>300</v>
      </c>
      <c r="B301" s="8"/>
      <c r="C301" s="8"/>
      <c r="D301" s="7"/>
      <c r="E301" s="7"/>
      <c r="F301" s="8"/>
      <c r="G301" s="7"/>
      <c r="H301" s="7"/>
      <c r="I301" s="8"/>
      <c r="J301" s="9"/>
      <c r="K301" s="9"/>
      <c r="L301" s="7"/>
      <c r="M301" s="7"/>
      <c r="N301" s="8"/>
      <c r="O301" s="9"/>
      <c r="P301" s="9"/>
      <c r="Q301" s="9"/>
      <c r="R301" s="9"/>
      <c r="S301" s="8"/>
      <c r="T301" s="9" t="str">
        <f aca="false">IF(J301="","",EDATE(MAX(J301,K301,P301,Q301,R301),36))</f>
        <v/>
      </c>
      <c r="U301" s="9" t="str">
        <f aca="false">IF(OR(L301&lt;&gt;"Email",K301="",P301&lt;&gt;"",M301="Opposition",M301="Pas intéressé",M301="Client",M301="Rendez-vous pris",M301="Numéro erroné"),"",WORKDAY(K301,5))</f>
        <v/>
      </c>
      <c r="V301" s="9" t="str">
        <f aca="false">IF(OR(P301="",Q301&lt;&gt;"",M301="Opposition",M301="Pas intéressé",M301="Client",M301="Rendez-vous pris",M301="Numéro erroné"),"",WORKDAY(P301,7))</f>
        <v/>
      </c>
      <c r="W301" s="7" t="str">
        <f aca="true">IF(M301="Opposition","Ne pas contacter",IF(AND(U301&lt;&gt;"",U301&lt;=TODAY()),"Relance 1 à envoyer",IF(AND(V301&lt;&gt;"",V301&lt;=TODAY()),"Relance 2 à envoyer",IF(AND(O301&lt;&gt;"",O301&lt;=TODAY()),"Rappel à faire",""))))</f>
        <v/>
      </c>
    </row>
    <row r="302" customFormat="false" ht="15" hidden="false" customHeight="false" outlineLevel="0" collapsed="false">
      <c r="A302" s="7" t="n">
        <v>301</v>
      </c>
      <c r="B302" s="8"/>
      <c r="C302" s="8"/>
      <c r="D302" s="7"/>
      <c r="E302" s="7"/>
      <c r="F302" s="8"/>
      <c r="G302" s="7"/>
      <c r="H302" s="7"/>
      <c r="I302" s="8"/>
      <c r="J302" s="9"/>
      <c r="K302" s="9"/>
      <c r="L302" s="7"/>
      <c r="M302" s="7"/>
      <c r="N302" s="8"/>
      <c r="O302" s="9"/>
      <c r="P302" s="9"/>
      <c r="Q302" s="9"/>
      <c r="R302" s="9"/>
      <c r="S302" s="8"/>
      <c r="T302" s="9" t="str">
        <f aca="false">IF(J302="","",EDATE(MAX(J302,K302,P302,Q302,R302),36))</f>
        <v/>
      </c>
      <c r="U302" s="9" t="str">
        <f aca="false">IF(OR(L302&lt;&gt;"Email",K302="",P302&lt;&gt;"",M302="Opposition",M302="Pas intéressé",M302="Client",M302="Rendez-vous pris",M302="Numéro erroné"),"",WORKDAY(K302,5))</f>
        <v/>
      </c>
      <c r="V302" s="9" t="str">
        <f aca="false">IF(OR(P302="",Q302&lt;&gt;"",M302="Opposition",M302="Pas intéressé",M302="Client",M302="Rendez-vous pris",M302="Numéro erroné"),"",WORKDAY(P302,7))</f>
        <v/>
      </c>
      <c r="W302" s="7" t="str">
        <f aca="true">IF(M302="Opposition","Ne pas contacter",IF(AND(U302&lt;&gt;"",U302&lt;=TODAY()),"Relance 1 à envoyer",IF(AND(V302&lt;&gt;"",V302&lt;=TODAY()),"Relance 2 à envoyer",IF(AND(O302&lt;&gt;"",O302&lt;=TODAY()),"Rappel à faire",""))))</f>
        <v/>
      </c>
    </row>
    <row r="303" customFormat="false" ht="15" hidden="false" customHeight="false" outlineLevel="0" collapsed="false">
      <c r="A303" s="7" t="n">
        <v>302</v>
      </c>
      <c r="B303" s="8"/>
      <c r="C303" s="8"/>
      <c r="D303" s="7"/>
      <c r="E303" s="7"/>
      <c r="F303" s="8"/>
      <c r="G303" s="7"/>
      <c r="H303" s="7"/>
      <c r="I303" s="8"/>
      <c r="J303" s="9"/>
      <c r="K303" s="9"/>
      <c r="L303" s="7"/>
      <c r="M303" s="7"/>
      <c r="N303" s="8"/>
      <c r="O303" s="9"/>
      <c r="P303" s="9"/>
      <c r="Q303" s="9"/>
      <c r="R303" s="9"/>
      <c r="S303" s="8"/>
      <c r="T303" s="9" t="str">
        <f aca="false">IF(J303="","",EDATE(MAX(J303,K303,P303,Q303,R303),36))</f>
        <v/>
      </c>
      <c r="U303" s="9" t="str">
        <f aca="false">IF(OR(L303&lt;&gt;"Email",K303="",P303&lt;&gt;"",M303="Opposition",M303="Pas intéressé",M303="Client",M303="Rendez-vous pris",M303="Numéro erroné"),"",WORKDAY(K303,5))</f>
        <v/>
      </c>
      <c r="V303" s="9" t="str">
        <f aca="false">IF(OR(P303="",Q303&lt;&gt;"",M303="Opposition",M303="Pas intéressé",M303="Client",M303="Rendez-vous pris",M303="Numéro erroné"),"",WORKDAY(P303,7))</f>
        <v/>
      </c>
      <c r="W303" s="7" t="str">
        <f aca="true">IF(M303="Opposition","Ne pas contacter",IF(AND(U303&lt;&gt;"",U303&lt;=TODAY()),"Relance 1 à envoyer",IF(AND(V303&lt;&gt;"",V303&lt;=TODAY()),"Relance 2 à envoyer",IF(AND(O303&lt;&gt;"",O303&lt;=TODAY()),"Rappel à faire",""))))</f>
        <v/>
      </c>
    </row>
    <row r="304" customFormat="false" ht="15" hidden="false" customHeight="false" outlineLevel="0" collapsed="false">
      <c r="A304" s="7" t="n">
        <v>303</v>
      </c>
      <c r="B304" s="8"/>
      <c r="C304" s="8"/>
      <c r="D304" s="7"/>
      <c r="E304" s="7"/>
      <c r="F304" s="8"/>
      <c r="G304" s="7"/>
      <c r="H304" s="7"/>
      <c r="I304" s="8"/>
      <c r="J304" s="9"/>
      <c r="K304" s="9"/>
      <c r="L304" s="7"/>
      <c r="M304" s="7"/>
      <c r="N304" s="8"/>
      <c r="O304" s="9"/>
      <c r="P304" s="9"/>
      <c r="Q304" s="9"/>
      <c r="R304" s="9"/>
      <c r="S304" s="8"/>
      <c r="T304" s="9" t="str">
        <f aca="false">IF(J304="","",EDATE(MAX(J304,K304,P304,Q304,R304),36))</f>
        <v/>
      </c>
      <c r="U304" s="9" t="str">
        <f aca="false">IF(OR(L304&lt;&gt;"Email",K304="",P304&lt;&gt;"",M304="Opposition",M304="Pas intéressé",M304="Client",M304="Rendez-vous pris",M304="Numéro erroné"),"",WORKDAY(K304,5))</f>
        <v/>
      </c>
      <c r="V304" s="9" t="str">
        <f aca="false">IF(OR(P304="",Q304&lt;&gt;"",M304="Opposition",M304="Pas intéressé",M304="Client",M304="Rendez-vous pris",M304="Numéro erroné"),"",WORKDAY(P304,7))</f>
        <v/>
      </c>
      <c r="W304" s="7" t="str">
        <f aca="true">IF(M304="Opposition","Ne pas contacter",IF(AND(U304&lt;&gt;"",U304&lt;=TODAY()),"Relance 1 à envoyer",IF(AND(V304&lt;&gt;"",V304&lt;=TODAY()),"Relance 2 à envoyer",IF(AND(O304&lt;&gt;"",O304&lt;=TODAY()),"Rappel à faire",""))))</f>
        <v/>
      </c>
    </row>
    <row r="305" customFormat="false" ht="15" hidden="false" customHeight="false" outlineLevel="0" collapsed="false">
      <c r="A305" s="7" t="n">
        <v>304</v>
      </c>
      <c r="B305" s="8"/>
      <c r="C305" s="8"/>
      <c r="D305" s="7"/>
      <c r="E305" s="7"/>
      <c r="F305" s="8"/>
      <c r="G305" s="7"/>
      <c r="H305" s="7"/>
      <c r="I305" s="8"/>
      <c r="J305" s="9"/>
      <c r="K305" s="9"/>
      <c r="L305" s="7"/>
      <c r="M305" s="7"/>
      <c r="N305" s="8"/>
      <c r="O305" s="9"/>
      <c r="P305" s="9"/>
      <c r="Q305" s="9"/>
      <c r="R305" s="9"/>
      <c r="S305" s="8"/>
      <c r="T305" s="9" t="str">
        <f aca="false">IF(J305="","",EDATE(MAX(J305,K305,P305,Q305,R305),36))</f>
        <v/>
      </c>
      <c r="U305" s="9" t="str">
        <f aca="false">IF(OR(L305&lt;&gt;"Email",K305="",P305&lt;&gt;"",M305="Opposition",M305="Pas intéressé",M305="Client",M305="Rendez-vous pris",M305="Numéro erroné"),"",WORKDAY(K305,5))</f>
        <v/>
      </c>
      <c r="V305" s="9" t="str">
        <f aca="false">IF(OR(P305="",Q305&lt;&gt;"",M305="Opposition",M305="Pas intéressé",M305="Client",M305="Rendez-vous pris",M305="Numéro erroné"),"",WORKDAY(P305,7))</f>
        <v/>
      </c>
      <c r="W305" s="7" t="str">
        <f aca="true">IF(M305="Opposition","Ne pas contacter",IF(AND(U305&lt;&gt;"",U305&lt;=TODAY()),"Relance 1 à envoyer",IF(AND(V305&lt;&gt;"",V305&lt;=TODAY()),"Relance 2 à envoyer",IF(AND(O305&lt;&gt;"",O305&lt;=TODAY()),"Rappel à faire",""))))</f>
        <v/>
      </c>
    </row>
    <row r="306" customFormat="false" ht="15" hidden="false" customHeight="false" outlineLevel="0" collapsed="false">
      <c r="A306" s="7" t="n">
        <v>305</v>
      </c>
      <c r="B306" s="8"/>
      <c r="C306" s="8"/>
      <c r="D306" s="7"/>
      <c r="E306" s="7"/>
      <c r="F306" s="8"/>
      <c r="G306" s="7"/>
      <c r="H306" s="7"/>
      <c r="I306" s="8"/>
      <c r="J306" s="9"/>
      <c r="K306" s="9"/>
      <c r="L306" s="7"/>
      <c r="M306" s="7"/>
      <c r="N306" s="8"/>
      <c r="O306" s="9"/>
      <c r="P306" s="9"/>
      <c r="Q306" s="9"/>
      <c r="R306" s="9"/>
      <c r="S306" s="8"/>
      <c r="T306" s="9" t="str">
        <f aca="false">IF(J306="","",EDATE(MAX(J306,K306,P306,Q306,R306),36))</f>
        <v/>
      </c>
      <c r="U306" s="9" t="str">
        <f aca="false">IF(OR(L306&lt;&gt;"Email",K306="",P306&lt;&gt;"",M306="Opposition",M306="Pas intéressé",M306="Client",M306="Rendez-vous pris",M306="Numéro erroné"),"",WORKDAY(K306,5))</f>
        <v/>
      </c>
      <c r="V306" s="9" t="str">
        <f aca="false">IF(OR(P306="",Q306&lt;&gt;"",M306="Opposition",M306="Pas intéressé",M306="Client",M306="Rendez-vous pris",M306="Numéro erroné"),"",WORKDAY(P306,7))</f>
        <v/>
      </c>
      <c r="W306" s="7" t="str">
        <f aca="true">IF(M306="Opposition","Ne pas contacter",IF(AND(U306&lt;&gt;"",U306&lt;=TODAY()),"Relance 1 à envoyer",IF(AND(V306&lt;&gt;"",V306&lt;=TODAY()),"Relance 2 à envoyer",IF(AND(O306&lt;&gt;"",O306&lt;=TODAY()),"Rappel à faire",""))))</f>
        <v/>
      </c>
    </row>
    <row r="307" customFormat="false" ht="15" hidden="false" customHeight="false" outlineLevel="0" collapsed="false">
      <c r="A307" s="7" t="n">
        <v>306</v>
      </c>
      <c r="B307" s="8"/>
      <c r="C307" s="8"/>
      <c r="D307" s="7"/>
      <c r="E307" s="7"/>
      <c r="F307" s="8"/>
      <c r="G307" s="7"/>
      <c r="H307" s="7"/>
      <c r="I307" s="8"/>
      <c r="J307" s="9"/>
      <c r="K307" s="9"/>
      <c r="L307" s="7"/>
      <c r="M307" s="7"/>
      <c r="N307" s="8"/>
      <c r="O307" s="9"/>
      <c r="P307" s="9"/>
      <c r="Q307" s="9"/>
      <c r="R307" s="9"/>
      <c r="S307" s="8"/>
      <c r="T307" s="9" t="str">
        <f aca="false">IF(J307="","",EDATE(MAX(J307,K307,P307,Q307,R307),36))</f>
        <v/>
      </c>
      <c r="U307" s="9" t="str">
        <f aca="false">IF(OR(L307&lt;&gt;"Email",K307="",P307&lt;&gt;"",M307="Opposition",M307="Pas intéressé",M307="Client",M307="Rendez-vous pris",M307="Numéro erroné"),"",WORKDAY(K307,5))</f>
        <v/>
      </c>
      <c r="V307" s="9" t="str">
        <f aca="false">IF(OR(P307="",Q307&lt;&gt;"",M307="Opposition",M307="Pas intéressé",M307="Client",M307="Rendez-vous pris",M307="Numéro erroné"),"",WORKDAY(P307,7))</f>
        <v/>
      </c>
      <c r="W307" s="7" t="str">
        <f aca="true">IF(M307="Opposition","Ne pas contacter",IF(AND(U307&lt;&gt;"",U307&lt;=TODAY()),"Relance 1 à envoyer",IF(AND(V307&lt;&gt;"",V307&lt;=TODAY()),"Relance 2 à envoyer",IF(AND(O307&lt;&gt;"",O307&lt;=TODAY()),"Rappel à faire",""))))</f>
        <v/>
      </c>
    </row>
    <row r="308" customFormat="false" ht="15" hidden="false" customHeight="false" outlineLevel="0" collapsed="false">
      <c r="A308" s="7" t="n">
        <v>307</v>
      </c>
      <c r="B308" s="8"/>
      <c r="C308" s="8"/>
      <c r="D308" s="7"/>
      <c r="E308" s="7"/>
      <c r="F308" s="8"/>
      <c r="G308" s="7"/>
      <c r="H308" s="7"/>
      <c r="I308" s="8"/>
      <c r="J308" s="9"/>
      <c r="K308" s="9"/>
      <c r="L308" s="7"/>
      <c r="M308" s="7"/>
      <c r="N308" s="8"/>
      <c r="O308" s="9"/>
      <c r="P308" s="9"/>
      <c r="Q308" s="9"/>
      <c r="R308" s="9"/>
      <c r="S308" s="8"/>
      <c r="T308" s="9" t="str">
        <f aca="false">IF(J308="","",EDATE(MAX(J308,K308,P308,Q308,R308),36))</f>
        <v/>
      </c>
      <c r="U308" s="9" t="str">
        <f aca="false">IF(OR(L308&lt;&gt;"Email",K308="",P308&lt;&gt;"",M308="Opposition",M308="Pas intéressé",M308="Client",M308="Rendez-vous pris",M308="Numéro erroné"),"",WORKDAY(K308,5))</f>
        <v/>
      </c>
      <c r="V308" s="9" t="str">
        <f aca="false">IF(OR(P308="",Q308&lt;&gt;"",M308="Opposition",M308="Pas intéressé",M308="Client",M308="Rendez-vous pris",M308="Numéro erroné"),"",WORKDAY(P308,7))</f>
        <v/>
      </c>
      <c r="W308" s="7" t="str">
        <f aca="true">IF(M308="Opposition","Ne pas contacter",IF(AND(U308&lt;&gt;"",U308&lt;=TODAY()),"Relance 1 à envoyer",IF(AND(V308&lt;&gt;"",V308&lt;=TODAY()),"Relance 2 à envoyer",IF(AND(O308&lt;&gt;"",O308&lt;=TODAY()),"Rappel à faire",""))))</f>
        <v/>
      </c>
    </row>
    <row r="309" customFormat="false" ht="15" hidden="false" customHeight="false" outlineLevel="0" collapsed="false">
      <c r="A309" s="7" t="n">
        <v>308</v>
      </c>
      <c r="B309" s="8"/>
      <c r="C309" s="8"/>
      <c r="D309" s="7"/>
      <c r="E309" s="7"/>
      <c r="F309" s="8"/>
      <c r="G309" s="7"/>
      <c r="H309" s="7"/>
      <c r="I309" s="8"/>
      <c r="J309" s="9"/>
      <c r="K309" s="9"/>
      <c r="L309" s="7"/>
      <c r="M309" s="7"/>
      <c r="N309" s="8"/>
      <c r="O309" s="9"/>
      <c r="P309" s="9"/>
      <c r="Q309" s="9"/>
      <c r="R309" s="9"/>
      <c r="S309" s="8"/>
      <c r="T309" s="9" t="str">
        <f aca="false">IF(J309="","",EDATE(MAX(J309,K309,P309,Q309,R309),36))</f>
        <v/>
      </c>
      <c r="U309" s="9" t="str">
        <f aca="false">IF(OR(L309&lt;&gt;"Email",K309="",P309&lt;&gt;"",M309="Opposition",M309="Pas intéressé",M309="Client",M309="Rendez-vous pris",M309="Numéro erroné"),"",WORKDAY(K309,5))</f>
        <v/>
      </c>
      <c r="V309" s="9" t="str">
        <f aca="false">IF(OR(P309="",Q309&lt;&gt;"",M309="Opposition",M309="Pas intéressé",M309="Client",M309="Rendez-vous pris",M309="Numéro erroné"),"",WORKDAY(P309,7))</f>
        <v/>
      </c>
      <c r="W309" s="7" t="str">
        <f aca="true">IF(M309="Opposition","Ne pas contacter",IF(AND(U309&lt;&gt;"",U309&lt;=TODAY()),"Relance 1 à envoyer",IF(AND(V309&lt;&gt;"",V309&lt;=TODAY()),"Relance 2 à envoyer",IF(AND(O309&lt;&gt;"",O309&lt;=TODAY()),"Rappel à faire",""))))</f>
        <v/>
      </c>
    </row>
    <row r="310" customFormat="false" ht="15" hidden="false" customHeight="false" outlineLevel="0" collapsed="false">
      <c r="A310" s="7" t="n">
        <v>309</v>
      </c>
      <c r="B310" s="8"/>
      <c r="C310" s="8"/>
      <c r="D310" s="7"/>
      <c r="E310" s="7"/>
      <c r="F310" s="8"/>
      <c r="G310" s="7"/>
      <c r="H310" s="7"/>
      <c r="I310" s="8"/>
      <c r="J310" s="9"/>
      <c r="K310" s="9"/>
      <c r="L310" s="7"/>
      <c r="M310" s="7"/>
      <c r="N310" s="8"/>
      <c r="O310" s="9"/>
      <c r="P310" s="9"/>
      <c r="Q310" s="9"/>
      <c r="R310" s="9"/>
      <c r="S310" s="8"/>
      <c r="T310" s="9" t="str">
        <f aca="false">IF(J310="","",EDATE(MAX(J310,K310,P310,Q310,R310),36))</f>
        <v/>
      </c>
      <c r="U310" s="9" t="str">
        <f aca="false">IF(OR(L310&lt;&gt;"Email",K310="",P310&lt;&gt;"",M310="Opposition",M310="Pas intéressé",M310="Client",M310="Rendez-vous pris",M310="Numéro erroné"),"",WORKDAY(K310,5))</f>
        <v/>
      </c>
      <c r="V310" s="9" t="str">
        <f aca="false">IF(OR(P310="",Q310&lt;&gt;"",M310="Opposition",M310="Pas intéressé",M310="Client",M310="Rendez-vous pris",M310="Numéro erroné"),"",WORKDAY(P310,7))</f>
        <v/>
      </c>
      <c r="W310" s="7" t="str">
        <f aca="true">IF(M310="Opposition","Ne pas contacter",IF(AND(U310&lt;&gt;"",U310&lt;=TODAY()),"Relance 1 à envoyer",IF(AND(V310&lt;&gt;"",V310&lt;=TODAY()),"Relance 2 à envoyer",IF(AND(O310&lt;&gt;"",O310&lt;=TODAY()),"Rappel à faire",""))))</f>
        <v/>
      </c>
    </row>
    <row r="311" customFormat="false" ht="15" hidden="false" customHeight="false" outlineLevel="0" collapsed="false">
      <c r="A311" s="7" t="n">
        <v>310</v>
      </c>
      <c r="B311" s="8"/>
      <c r="C311" s="8"/>
      <c r="D311" s="7"/>
      <c r="E311" s="7"/>
      <c r="F311" s="8"/>
      <c r="G311" s="7"/>
      <c r="H311" s="7"/>
      <c r="I311" s="8"/>
      <c r="J311" s="9"/>
      <c r="K311" s="9"/>
      <c r="L311" s="7"/>
      <c r="M311" s="7"/>
      <c r="N311" s="8"/>
      <c r="O311" s="9"/>
      <c r="P311" s="9"/>
      <c r="Q311" s="9"/>
      <c r="R311" s="9"/>
      <c r="S311" s="8"/>
      <c r="T311" s="9" t="str">
        <f aca="false">IF(J311="","",EDATE(MAX(J311,K311,P311,Q311,R311),36))</f>
        <v/>
      </c>
      <c r="U311" s="9" t="str">
        <f aca="false">IF(OR(L311&lt;&gt;"Email",K311="",P311&lt;&gt;"",M311="Opposition",M311="Pas intéressé",M311="Client",M311="Rendez-vous pris",M311="Numéro erroné"),"",WORKDAY(K311,5))</f>
        <v/>
      </c>
      <c r="V311" s="9" t="str">
        <f aca="false">IF(OR(P311="",Q311&lt;&gt;"",M311="Opposition",M311="Pas intéressé",M311="Client",M311="Rendez-vous pris",M311="Numéro erroné"),"",WORKDAY(P311,7))</f>
        <v/>
      </c>
      <c r="W311" s="7" t="str">
        <f aca="true">IF(M311="Opposition","Ne pas contacter",IF(AND(U311&lt;&gt;"",U311&lt;=TODAY()),"Relance 1 à envoyer",IF(AND(V311&lt;&gt;"",V311&lt;=TODAY()),"Relance 2 à envoyer",IF(AND(O311&lt;&gt;"",O311&lt;=TODAY()),"Rappel à faire",""))))</f>
        <v/>
      </c>
    </row>
    <row r="312" customFormat="false" ht="15" hidden="false" customHeight="false" outlineLevel="0" collapsed="false">
      <c r="A312" s="7" t="n">
        <v>311</v>
      </c>
      <c r="B312" s="8"/>
      <c r="C312" s="8"/>
      <c r="D312" s="7"/>
      <c r="E312" s="7"/>
      <c r="F312" s="8"/>
      <c r="G312" s="7"/>
      <c r="H312" s="7"/>
      <c r="I312" s="8"/>
      <c r="J312" s="9"/>
      <c r="K312" s="9"/>
      <c r="L312" s="7"/>
      <c r="M312" s="7"/>
      <c r="N312" s="8"/>
      <c r="O312" s="9"/>
      <c r="P312" s="9"/>
      <c r="Q312" s="9"/>
      <c r="R312" s="9"/>
      <c r="S312" s="8"/>
      <c r="T312" s="9" t="str">
        <f aca="false">IF(J312="","",EDATE(MAX(J312,K312,P312,Q312,R312),36))</f>
        <v/>
      </c>
      <c r="U312" s="9" t="str">
        <f aca="false">IF(OR(L312&lt;&gt;"Email",K312="",P312&lt;&gt;"",M312="Opposition",M312="Pas intéressé",M312="Client",M312="Rendez-vous pris",M312="Numéro erroné"),"",WORKDAY(K312,5))</f>
        <v/>
      </c>
      <c r="V312" s="9" t="str">
        <f aca="false">IF(OR(P312="",Q312&lt;&gt;"",M312="Opposition",M312="Pas intéressé",M312="Client",M312="Rendez-vous pris",M312="Numéro erroné"),"",WORKDAY(P312,7))</f>
        <v/>
      </c>
      <c r="W312" s="7" t="str">
        <f aca="true">IF(M312="Opposition","Ne pas contacter",IF(AND(U312&lt;&gt;"",U312&lt;=TODAY()),"Relance 1 à envoyer",IF(AND(V312&lt;&gt;"",V312&lt;=TODAY()),"Relance 2 à envoyer",IF(AND(O312&lt;&gt;"",O312&lt;=TODAY()),"Rappel à faire",""))))</f>
        <v/>
      </c>
    </row>
    <row r="313" customFormat="false" ht="15" hidden="false" customHeight="false" outlineLevel="0" collapsed="false">
      <c r="A313" s="7" t="n">
        <v>312</v>
      </c>
      <c r="B313" s="8"/>
      <c r="C313" s="8"/>
      <c r="D313" s="7"/>
      <c r="E313" s="7"/>
      <c r="F313" s="8"/>
      <c r="G313" s="7"/>
      <c r="H313" s="7"/>
      <c r="I313" s="8"/>
      <c r="J313" s="9"/>
      <c r="K313" s="9"/>
      <c r="L313" s="7"/>
      <c r="M313" s="7"/>
      <c r="N313" s="8"/>
      <c r="O313" s="9"/>
      <c r="P313" s="9"/>
      <c r="Q313" s="9"/>
      <c r="R313" s="9"/>
      <c r="S313" s="8"/>
      <c r="T313" s="9" t="str">
        <f aca="false">IF(J313="","",EDATE(MAX(J313,K313,P313,Q313,R313),36))</f>
        <v/>
      </c>
      <c r="U313" s="9" t="str">
        <f aca="false">IF(OR(L313&lt;&gt;"Email",K313="",P313&lt;&gt;"",M313="Opposition",M313="Pas intéressé",M313="Client",M313="Rendez-vous pris",M313="Numéro erroné"),"",WORKDAY(K313,5))</f>
        <v/>
      </c>
      <c r="V313" s="9" t="str">
        <f aca="false">IF(OR(P313="",Q313&lt;&gt;"",M313="Opposition",M313="Pas intéressé",M313="Client",M313="Rendez-vous pris",M313="Numéro erroné"),"",WORKDAY(P313,7))</f>
        <v/>
      </c>
      <c r="W313" s="7" t="str">
        <f aca="true">IF(M313="Opposition","Ne pas contacter",IF(AND(U313&lt;&gt;"",U313&lt;=TODAY()),"Relance 1 à envoyer",IF(AND(V313&lt;&gt;"",V313&lt;=TODAY()),"Relance 2 à envoyer",IF(AND(O313&lt;&gt;"",O313&lt;=TODAY()),"Rappel à faire",""))))</f>
        <v/>
      </c>
    </row>
    <row r="314" customFormat="false" ht="15" hidden="false" customHeight="false" outlineLevel="0" collapsed="false">
      <c r="A314" s="7" t="n">
        <v>313</v>
      </c>
      <c r="B314" s="8"/>
      <c r="C314" s="8"/>
      <c r="D314" s="7"/>
      <c r="E314" s="7"/>
      <c r="F314" s="8"/>
      <c r="G314" s="7"/>
      <c r="H314" s="7"/>
      <c r="I314" s="8"/>
      <c r="J314" s="9"/>
      <c r="K314" s="9"/>
      <c r="L314" s="7"/>
      <c r="M314" s="7"/>
      <c r="N314" s="8"/>
      <c r="O314" s="9"/>
      <c r="P314" s="9"/>
      <c r="Q314" s="9"/>
      <c r="R314" s="9"/>
      <c r="S314" s="8"/>
      <c r="T314" s="9" t="str">
        <f aca="false">IF(J314="","",EDATE(MAX(J314,K314,P314,Q314,R314),36))</f>
        <v/>
      </c>
      <c r="U314" s="9" t="str">
        <f aca="false">IF(OR(L314&lt;&gt;"Email",K314="",P314&lt;&gt;"",M314="Opposition",M314="Pas intéressé",M314="Client",M314="Rendez-vous pris",M314="Numéro erroné"),"",WORKDAY(K314,5))</f>
        <v/>
      </c>
      <c r="V314" s="9" t="str">
        <f aca="false">IF(OR(P314="",Q314&lt;&gt;"",M314="Opposition",M314="Pas intéressé",M314="Client",M314="Rendez-vous pris",M314="Numéro erroné"),"",WORKDAY(P314,7))</f>
        <v/>
      </c>
      <c r="W314" s="7" t="str">
        <f aca="true">IF(M314="Opposition","Ne pas contacter",IF(AND(U314&lt;&gt;"",U314&lt;=TODAY()),"Relance 1 à envoyer",IF(AND(V314&lt;&gt;"",V314&lt;=TODAY()),"Relance 2 à envoyer",IF(AND(O314&lt;&gt;"",O314&lt;=TODAY()),"Rappel à faire",""))))</f>
        <v/>
      </c>
    </row>
    <row r="315" customFormat="false" ht="15" hidden="false" customHeight="false" outlineLevel="0" collapsed="false">
      <c r="A315" s="7" t="n">
        <v>314</v>
      </c>
      <c r="B315" s="8"/>
      <c r="C315" s="8"/>
      <c r="D315" s="7"/>
      <c r="E315" s="7"/>
      <c r="F315" s="8"/>
      <c r="G315" s="7"/>
      <c r="H315" s="7"/>
      <c r="I315" s="8"/>
      <c r="J315" s="9"/>
      <c r="K315" s="9"/>
      <c r="L315" s="7"/>
      <c r="M315" s="7"/>
      <c r="N315" s="8"/>
      <c r="O315" s="9"/>
      <c r="P315" s="9"/>
      <c r="Q315" s="9"/>
      <c r="R315" s="9"/>
      <c r="S315" s="8"/>
      <c r="T315" s="9" t="str">
        <f aca="false">IF(J315="","",EDATE(MAX(J315,K315,P315,Q315,R315),36))</f>
        <v/>
      </c>
      <c r="U315" s="9" t="str">
        <f aca="false">IF(OR(L315&lt;&gt;"Email",K315="",P315&lt;&gt;"",M315="Opposition",M315="Pas intéressé",M315="Client",M315="Rendez-vous pris",M315="Numéro erroné"),"",WORKDAY(K315,5))</f>
        <v/>
      </c>
      <c r="V315" s="9" t="str">
        <f aca="false">IF(OR(P315="",Q315&lt;&gt;"",M315="Opposition",M315="Pas intéressé",M315="Client",M315="Rendez-vous pris",M315="Numéro erroné"),"",WORKDAY(P315,7))</f>
        <v/>
      </c>
      <c r="W315" s="7" t="str">
        <f aca="true">IF(M315="Opposition","Ne pas contacter",IF(AND(U315&lt;&gt;"",U315&lt;=TODAY()),"Relance 1 à envoyer",IF(AND(V315&lt;&gt;"",V315&lt;=TODAY()),"Relance 2 à envoyer",IF(AND(O315&lt;&gt;"",O315&lt;=TODAY()),"Rappel à faire",""))))</f>
        <v/>
      </c>
    </row>
    <row r="316" customFormat="false" ht="15" hidden="false" customHeight="false" outlineLevel="0" collapsed="false">
      <c r="A316" s="7" t="n">
        <v>315</v>
      </c>
      <c r="B316" s="8"/>
      <c r="C316" s="8"/>
      <c r="D316" s="7"/>
      <c r="E316" s="7"/>
      <c r="F316" s="8"/>
      <c r="G316" s="7"/>
      <c r="H316" s="7"/>
      <c r="I316" s="8"/>
      <c r="J316" s="9"/>
      <c r="K316" s="9"/>
      <c r="L316" s="7"/>
      <c r="M316" s="7"/>
      <c r="N316" s="8"/>
      <c r="O316" s="9"/>
      <c r="P316" s="9"/>
      <c r="Q316" s="9"/>
      <c r="R316" s="9"/>
      <c r="S316" s="8"/>
      <c r="T316" s="9" t="str">
        <f aca="false">IF(J316="","",EDATE(MAX(J316,K316,P316,Q316,R316),36))</f>
        <v/>
      </c>
      <c r="U316" s="9" t="str">
        <f aca="false">IF(OR(L316&lt;&gt;"Email",K316="",P316&lt;&gt;"",M316="Opposition",M316="Pas intéressé",M316="Client",M316="Rendez-vous pris",M316="Numéro erroné"),"",WORKDAY(K316,5))</f>
        <v/>
      </c>
      <c r="V316" s="9" t="str">
        <f aca="false">IF(OR(P316="",Q316&lt;&gt;"",M316="Opposition",M316="Pas intéressé",M316="Client",M316="Rendez-vous pris",M316="Numéro erroné"),"",WORKDAY(P316,7))</f>
        <v/>
      </c>
      <c r="W316" s="7" t="str">
        <f aca="true">IF(M316="Opposition","Ne pas contacter",IF(AND(U316&lt;&gt;"",U316&lt;=TODAY()),"Relance 1 à envoyer",IF(AND(V316&lt;&gt;"",V316&lt;=TODAY()),"Relance 2 à envoyer",IF(AND(O316&lt;&gt;"",O316&lt;=TODAY()),"Rappel à faire",""))))</f>
        <v/>
      </c>
    </row>
    <row r="317" customFormat="false" ht="15" hidden="false" customHeight="false" outlineLevel="0" collapsed="false">
      <c r="A317" s="7" t="n">
        <v>316</v>
      </c>
      <c r="B317" s="8"/>
      <c r="C317" s="8"/>
      <c r="D317" s="7"/>
      <c r="E317" s="7"/>
      <c r="F317" s="8"/>
      <c r="G317" s="7"/>
      <c r="H317" s="7"/>
      <c r="I317" s="8"/>
      <c r="J317" s="9"/>
      <c r="K317" s="9"/>
      <c r="L317" s="7"/>
      <c r="M317" s="7"/>
      <c r="N317" s="8"/>
      <c r="O317" s="9"/>
      <c r="P317" s="9"/>
      <c r="Q317" s="9"/>
      <c r="R317" s="9"/>
      <c r="S317" s="8"/>
      <c r="T317" s="9" t="str">
        <f aca="false">IF(J317="","",EDATE(MAX(J317,K317,P317,Q317,R317),36))</f>
        <v/>
      </c>
      <c r="U317" s="9" t="str">
        <f aca="false">IF(OR(L317&lt;&gt;"Email",K317="",P317&lt;&gt;"",M317="Opposition",M317="Pas intéressé",M317="Client",M317="Rendez-vous pris",M317="Numéro erroné"),"",WORKDAY(K317,5))</f>
        <v/>
      </c>
      <c r="V317" s="9" t="str">
        <f aca="false">IF(OR(P317="",Q317&lt;&gt;"",M317="Opposition",M317="Pas intéressé",M317="Client",M317="Rendez-vous pris",M317="Numéro erroné"),"",WORKDAY(P317,7))</f>
        <v/>
      </c>
      <c r="W317" s="7" t="str">
        <f aca="true">IF(M317="Opposition","Ne pas contacter",IF(AND(U317&lt;&gt;"",U317&lt;=TODAY()),"Relance 1 à envoyer",IF(AND(V317&lt;&gt;"",V317&lt;=TODAY()),"Relance 2 à envoyer",IF(AND(O317&lt;&gt;"",O317&lt;=TODAY()),"Rappel à faire",""))))</f>
        <v/>
      </c>
    </row>
    <row r="318" customFormat="false" ht="15" hidden="false" customHeight="false" outlineLevel="0" collapsed="false">
      <c r="A318" s="7" t="n">
        <v>317</v>
      </c>
      <c r="B318" s="8"/>
      <c r="C318" s="8"/>
      <c r="D318" s="7"/>
      <c r="E318" s="7"/>
      <c r="F318" s="8"/>
      <c r="G318" s="7"/>
      <c r="H318" s="7"/>
      <c r="I318" s="8"/>
      <c r="J318" s="9"/>
      <c r="K318" s="9"/>
      <c r="L318" s="7"/>
      <c r="M318" s="7"/>
      <c r="N318" s="8"/>
      <c r="O318" s="9"/>
      <c r="P318" s="9"/>
      <c r="Q318" s="9"/>
      <c r="R318" s="9"/>
      <c r="S318" s="8"/>
      <c r="T318" s="9" t="str">
        <f aca="false">IF(J318="","",EDATE(MAX(J318,K318,P318,Q318,R318),36))</f>
        <v/>
      </c>
      <c r="U318" s="9" t="str">
        <f aca="false">IF(OR(L318&lt;&gt;"Email",K318="",P318&lt;&gt;"",M318="Opposition",M318="Pas intéressé",M318="Client",M318="Rendez-vous pris",M318="Numéro erroné"),"",WORKDAY(K318,5))</f>
        <v/>
      </c>
      <c r="V318" s="9" t="str">
        <f aca="false">IF(OR(P318="",Q318&lt;&gt;"",M318="Opposition",M318="Pas intéressé",M318="Client",M318="Rendez-vous pris",M318="Numéro erroné"),"",WORKDAY(P318,7))</f>
        <v/>
      </c>
      <c r="W318" s="7" t="str">
        <f aca="true">IF(M318="Opposition","Ne pas contacter",IF(AND(U318&lt;&gt;"",U318&lt;=TODAY()),"Relance 1 à envoyer",IF(AND(V318&lt;&gt;"",V318&lt;=TODAY()),"Relance 2 à envoyer",IF(AND(O318&lt;&gt;"",O318&lt;=TODAY()),"Rappel à faire",""))))</f>
        <v/>
      </c>
    </row>
    <row r="319" customFormat="false" ht="15" hidden="false" customHeight="false" outlineLevel="0" collapsed="false">
      <c r="A319" s="7" t="n">
        <v>318</v>
      </c>
      <c r="B319" s="8"/>
      <c r="C319" s="8"/>
      <c r="D319" s="7"/>
      <c r="E319" s="7"/>
      <c r="F319" s="8"/>
      <c r="G319" s="7"/>
      <c r="H319" s="7"/>
      <c r="I319" s="8"/>
      <c r="J319" s="9"/>
      <c r="K319" s="9"/>
      <c r="L319" s="7"/>
      <c r="M319" s="7"/>
      <c r="N319" s="8"/>
      <c r="O319" s="9"/>
      <c r="P319" s="9"/>
      <c r="Q319" s="9"/>
      <c r="R319" s="9"/>
      <c r="S319" s="8"/>
      <c r="T319" s="9" t="str">
        <f aca="false">IF(J319="","",EDATE(MAX(J319,K319,P319,Q319,R319),36))</f>
        <v/>
      </c>
      <c r="U319" s="9" t="str">
        <f aca="false">IF(OR(L319&lt;&gt;"Email",K319="",P319&lt;&gt;"",M319="Opposition",M319="Pas intéressé",M319="Client",M319="Rendez-vous pris",M319="Numéro erroné"),"",WORKDAY(K319,5))</f>
        <v/>
      </c>
      <c r="V319" s="9" t="str">
        <f aca="false">IF(OR(P319="",Q319&lt;&gt;"",M319="Opposition",M319="Pas intéressé",M319="Client",M319="Rendez-vous pris",M319="Numéro erroné"),"",WORKDAY(P319,7))</f>
        <v/>
      </c>
      <c r="W319" s="7" t="str">
        <f aca="true">IF(M319="Opposition","Ne pas contacter",IF(AND(U319&lt;&gt;"",U319&lt;=TODAY()),"Relance 1 à envoyer",IF(AND(V319&lt;&gt;"",V319&lt;=TODAY()),"Relance 2 à envoyer",IF(AND(O319&lt;&gt;"",O319&lt;=TODAY()),"Rappel à faire",""))))</f>
        <v/>
      </c>
    </row>
    <row r="320" customFormat="false" ht="15" hidden="false" customHeight="false" outlineLevel="0" collapsed="false">
      <c r="A320" s="7" t="n">
        <v>319</v>
      </c>
      <c r="B320" s="8"/>
      <c r="C320" s="8"/>
      <c r="D320" s="7"/>
      <c r="E320" s="7"/>
      <c r="F320" s="8"/>
      <c r="G320" s="7"/>
      <c r="H320" s="7"/>
      <c r="I320" s="8"/>
      <c r="J320" s="9"/>
      <c r="K320" s="9"/>
      <c r="L320" s="7"/>
      <c r="M320" s="7"/>
      <c r="N320" s="8"/>
      <c r="O320" s="9"/>
      <c r="P320" s="9"/>
      <c r="Q320" s="9"/>
      <c r="R320" s="9"/>
      <c r="S320" s="8"/>
      <c r="T320" s="9" t="str">
        <f aca="false">IF(J320="","",EDATE(MAX(J320,K320,P320,Q320,R320),36))</f>
        <v/>
      </c>
      <c r="U320" s="9" t="str">
        <f aca="false">IF(OR(L320&lt;&gt;"Email",K320="",P320&lt;&gt;"",M320="Opposition",M320="Pas intéressé",M320="Client",M320="Rendez-vous pris",M320="Numéro erroné"),"",WORKDAY(K320,5))</f>
        <v/>
      </c>
      <c r="V320" s="9" t="str">
        <f aca="false">IF(OR(P320="",Q320&lt;&gt;"",M320="Opposition",M320="Pas intéressé",M320="Client",M320="Rendez-vous pris",M320="Numéro erroné"),"",WORKDAY(P320,7))</f>
        <v/>
      </c>
      <c r="W320" s="7" t="str">
        <f aca="true">IF(M320="Opposition","Ne pas contacter",IF(AND(U320&lt;&gt;"",U320&lt;=TODAY()),"Relance 1 à envoyer",IF(AND(V320&lt;&gt;"",V320&lt;=TODAY()),"Relance 2 à envoyer",IF(AND(O320&lt;&gt;"",O320&lt;=TODAY()),"Rappel à faire",""))))</f>
        <v/>
      </c>
    </row>
    <row r="321" customFormat="false" ht="15" hidden="false" customHeight="false" outlineLevel="0" collapsed="false">
      <c r="A321" s="7" t="n">
        <v>320</v>
      </c>
      <c r="B321" s="8"/>
      <c r="C321" s="8"/>
      <c r="D321" s="7"/>
      <c r="E321" s="7"/>
      <c r="F321" s="8"/>
      <c r="G321" s="7"/>
      <c r="H321" s="7"/>
      <c r="I321" s="8"/>
      <c r="J321" s="9"/>
      <c r="K321" s="9"/>
      <c r="L321" s="7"/>
      <c r="M321" s="7"/>
      <c r="N321" s="8"/>
      <c r="O321" s="9"/>
      <c r="P321" s="9"/>
      <c r="Q321" s="9"/>
      <c r="R321" s="9"/>
      <c r="S321" s="8"/>
      <c r="T321" s="9" t="str">
        <f aca="false">IF(J321="","",EDATE(MAX(J321,K321,P321,Q321,R321),36))</f>
        <v/>
      </c>
      <c r="U321" s="9" t="str">
        <f aca="false">IF(OR(L321&lt;&gt;"Email",K321="",P321&lt;&gt;"",M321="Opposition",M321="Pas intéressé",M321="Client",M321="Rendez-vous pris",M321="Numéro erroné"),"",WORKDAY(K321,5))</f>
        <v/>
      </c>
      <c r="V321" s="9" t="str">
        <f aca="false">IF(OR(P321="",Q321&lt;&gt;"",M321="Opposition",M321="Pas intéressé",M321="Client",M321="Rendez-vous pris",M321="Numéro erroné"),"",WORKDAY(P321,7))</f>
        <v/>
      </c>
      <c r="W321" s="7" t="str">
        <f aca="true">IF(M321="Opposition","Ne pas contacter",IF(AND(U321&lt;&gt;"",U321&lt;=TODAY()),"Relance 1 à envoyer",IF(AND(V321&lt;&gt;"",V321&lt;=TODAY()),"Relance 2 à envoyer",IF(AND(O321&lt;&gt;"",O321&lt;=TODAY()),"Rappel à faire",""))))</f>
        <v/>
      </c>
    </row>
    <row r="322" customFormat="false" ht="15" hidden="false" customHeight="false" outlineLevel="0" collapsed="false">
      <c r="A322" s="7" t="n">
        <v>321</v>
      </c>
      <c r="B322" s="8"/>
      <c r="C322" s="8"/>
      <c r="D322" s="7"/>
      <c r="E322" s="7"/>
      <c r="F322" s="8"/>
      <c r="G322" s="7"/>
      <c r="H322" s="7"/>
      <c r="I322" s="8"/>
      <c r="J322" s="9"/>
      <c r="K322" s="9"/>
      <c r="L322" s="7"/>
      <c r="M322" s="7"/>
      <c r="N322" s="8"/>
      <c r="O322" s="9"/>
      <c r="P322" s="9"/>
      <c r="Q322" s="9"/>
      <c r="R322" s="9"/>
      <c r="S322" s="8"/>
      <c r="T322" s="9" t="str">
        <f aca="false">IF(J322="","",EDATE(MAX(J322,K322,P322,Q322,R322),36))</f>
        <v/>
      </c>
      <c r="U322" s="9" t="str">
        <f aca="false">IF(OR(L322&lt;&gt;"Email",K322="",P322&lt;&gt;"",M322="Opposition",M322="Pas intéressé",M322="Client",M322="Rendez-vous pris",M322="Numéro erroné"),"",WORKDAY(K322,5))</f>
        <v/>
      </c>
      <c r="V322" s="9" t="str">
        <f aca="false">IF(OR(P322="",Q322&lt;&gt;"",M322="Opposition",M322="Pas intéressé",M322="Client",M322="Rendez-vous pris",M322="Numéro erroné"),"",WORKDAY(P322,7))</f>
        <v/>
      </c>
      <c r="W322" s="7" t="str">
        <f aca="true">IF(M322="Opposition","Ne pas contacter",IF(AND(U322&lt;&gt;"",U322&lt;=TODAY()),"Relance 1 à envoyer",IF(AND(V322&lt;&gt;"",V322&lt;=TODAY()),"Relance 2 à envoyer",IF(AND(O322&lt;&gt;"",O322&lt;=TODAY()),"Rappel à faire",""))))</f>
        <v/>
      </c>
    </row>
    <row r="323" customFormat="false" ht="15" hidden="false" customHeight="false" outlineLevel="0" collapsed="false">
      <c r="A323" s="7" t="n">
        <v>322</v>
      </c>
      <c r="B323" s="8"/>
      <c r="C323" s="8"/>
      <c r="D323" s="7"/>
      <c r="E323" s="7"/>
      <c r="F323" s="8"/>
      <c r="G323" s="7"/>
      <c r="H323" s="7"/>
      <c r="I323" s="8"/>
      <c r="J323" s="9"/>
      <c r="K323" s="9"/>
      <c r="L323" s="7"/>
      <c r="M323" s="7"/>
      <c r="N323" s="8"/>
      <c r="O323" s="9"/>
      <c r="P323" s="9"/>
      <c r="Q323" s="9"/>
      <c r="R323" s="9"/>
      <c r="S323" s="8"/>
      <c r="T323" s="9" t="str">
        <f aca="false">IF(J323="","",EDATE(MAX(J323,K323,P323,Q323,R323),36))</f>
        <v/>
      </c>
      <c r="U323" s="9" t="str">
        <f aca="false">IF(OR(L323&lt;&gt;"Email",K323="",P323&lt;&gt;"",M323="Opposition",M323="Pas intéressé",M323="Client",M323="Rendez-vous pris",M323="Numéro erroné"),"",WORKDAY(K323,5))</f>
        <v/>
      </c>
      <c r="V323" s="9" t="str">
        <f aca="false">IF(OR(P323="",Q323&lt;&gt;"",M323="Opposition",M323="Pas intéressé",M323="Client",M323="Rendez-vous pris",M323="Numéro erroné"),"",WORKDAY(P323,7))</f>
        <v/>
      </c>
      <c r="W323" s="7" t="str">
        <f aca="true">IF(M323="Opposition","Ne pas contacter",IF(AND(U323&lt;&gt;"",U323&lt;=TODAY()),"Relance 1 à envoyer",IF(AND(V323&lt;&gt;"",V323&lt;=TODAY()),"Relance 2 à envoyer",IF(AND(O323&lt;&gt;"",O323&lt;=TODAY()),"Rappel à faire",""))))</f>
        <v/>
      </c>
    </row>
    <row r="324" customFormat="false" ht="15" hidden="false" customHeight="false" outlineLevel="0" collapsed="false">
      <c r="A324" s="7" t="n">
        <v>323</v>
      </c>
      <c r="B324" s="8"/>
      <c r="C324" s="8"/>
      <c r="D324" s="7"/>
      <c r="E324" s="7"/>
      <c r="F324" s="8"/>
      <c r="G324" s="7"/>
      <c r="H324" s="7"/>
      <c r="I324" s="8"/>
      <c r="J324" s="9"/>
      <c r="K324" s="9"/>
      <c r="L324" s="7"/>
      <c r="M324" s="7"/>
      <c r="N324" s="8"/>
      <c r="O324" s="9"/>
      <c r="P324" s="9"/>
      <c r="Q324" s="9"/>
      <c r="R324" s="9"/>
      <c r="S324" s="8"/>
      <c r="T324" s="9" t="str">
        <f aca="false">IF(J324="","",EDATE(MAX(J324,K324,P324,Q324,R324),36))</f>
        <v/>
      </c>
      <c r="U324" s="9" t="str">
        <f aca="false">IF(OR(L324&lt;&gt;"Email",K324="",P324&lt;&gt;"",M324="Opposition",M324="Pas intéressé",M324="Client",M324="Rendez-vous pris",M324="Numéro erroné"),"",WORKDAY(K324,5))</f>
        <v/>
      </c>
      <c r="V324" s="9" t="str">
        <f aca="false">IF(OR(P324="",Q324&lt;&gt;"",M324="Opposition",M324="Pas intéressé",M324="Client",M324="Rendez-vous pris",M324="Numéro erroné"),"",WORKDAY(P324,7))</f>
        <v/>
      </c>
      <c r="W324" s="7" t="str">
        <f aca="true">IF(M324="Opposition","Ne pas contacter",IF(AND(U324&lt;&gt;"",U324&lt;=TODAY()),"Relance 1 à envoyer",IF(AND(V324&lt;&gt;"",V324&lt;=TODAY()),"Relance 2 à envoyer",IF(AND(O324&lt;&gt;"",O324&lt;=TODAY()),"Rappel à faire",""))))</f>
        <v/>
      </c>
    </row>
    <row r="325" customFormat="false" ht="15" hidden="false" customHeight="false" outlineLevel="0" collapsed="false">
      <c r="A325" s="7" t="n">
        <v>324</v>
      </c>
      <c r="B325" s="8"/>
      <c r="C325" s="8"/>
      <c r="D325" s="7"/>
      <c r="E325" s="7"/>
      <c r="F325" s="8"/>
      <c r="G325" s="7"/>
      <c r="H325" s="7"/>
      <c r="I325" s="8"/>
      <c r="J325" s="9"/>
      <c r="K325" s="9"/>
      <c r="L325" s="7"/>
      <c r="M325" s="7"/>
      <c r="N325" s="8"/>
      <c r="O325" s="9"/>
      <c r="P325" s="9"/>
      <c r="Q325" s="9"/>
      <c r="R325" s="9"/>
      <c r="S325" s="8"/>
      <c r="T325" s="9" t="str">
        <f aca="false">IF(J325="","",EDATE(MAX(J325,K325,P325,Q325,R325),36))</f>
        <v/>
      </c>
      <c r="U325" s="9" t="str">
        <f aca="false">IF(OR(L325&lt;&gt;"Email",K325="",P325&lt;&gt;"",M325="Opposition",M325="Pas intéressé",M325="Client",M325="Rendez-vous pris",M325="Numéro erroné"),"",WORKDAY(K325,5))</f>
        <v/>
      </c>
      <c r="V325" s="9" t="str">
        <f aca="false">IF(OR(P325="",Q325&lt;&gt;"",M325="Opposition",M325="Pas intéressé",M325="Client",M325="Rendez-vous pris",M325="Numéro erroné"),"",WORKDAY(P325,7))</f>
        <v/>
      </c>
      <c r="W325" s="7" t="str">
        <f aca="true">IF(M325="Opposition","Ne pas contacter",IF(AND(U325&lt;&gt;"",U325&lt;=TODAY()),"Relance 1 à envoyer",IF(AND(V325&lt;&gt;"",V325&lt;=TODAY()),"Relance 2 à envoyer",IF(AND(O325&lt;&gt;"",O325&lt;=TODAY()),"Rappel à faire",""))))</f>
        <v/>
      </c>
    </row>
    <row r="326" customFormat="false" ht="15" hidden="false" customHeight="false" outlineLevel="0" collapsed="false">
      <c r="A326" s="7" t="n">
        <v>325</v>
      </c>
      <c r="B326" s="8"/>
      <c r="C326" s="8"/>
      <c r="D326" s="7"/>
      <c r="E326" s="7"/>
      <c r="F326" s="8"/>
      <c r="G326" s="7"/>
      <c r="H326" s="7"/>
      <c r="I326" s="8"/>
      <c r="J326" s="9"/>
      <c r="K326" s="9"/>
      <c r="L326" s="7"/>
      <c r="M326" s="7"/>
      <c r="N326" s="8"/>
      <c r="O326" s="9"/>
      <c r="P326" s="9"/>
      <c r="Q326" s="9"/>
      <c r="R326" s="9"/>
      <c r="S326" s="8"/>
      <c r="T326" s="9" t="str">
        <f aca="false">IF(J326="","",EDATE(MAX(J326,K326,P326,Q326,R326),36))</f>
        <v/>
      </c>
      <c r="U326" s="9" t="str">
        <f aca="false">IF(OR(L326&lt;&gt;"Email",K326="",P326&lt;&gt;"",M326="Opposition",M326="Pas intéressé",M326="Client",M326="Rendez-vous pris",M326="Numéro erroné"),"",WORKDAY(K326,5))</f>
        <v/>
      </c>
      <c r="V326" s="9" t="str">
        <f aca="false">IF(OR(P326="",Q326&lt;&gt;"",M326="Opposition",M326="Pas intéressé",M326="Client",M326="Rendez-vous pris",M326="Numéro erroné"),"",WORKDAY(P326,7))</f>
        <v/>
      </c>
      <c r="W326" s="7" t="str">
        <f aca="true">IF(M326="Opposition","Ne pas contacter",IF(AND(U326&lt;&gt;"",U326&lt;=TODAY()),"Relance 1 à envoyer",IF(AND(V326&lt;&gt;"",V326&lt;=TODAY()),"Relance 2 à envoyer",IF(AND(O326&lt;&gt;"",O326&lt;=TODAY()),"Rappel à faire",""))))</f>
        <v/>
      </c>
    </row>
    <row r="327" customFormat="false" ht="15" hidden="false" customHeight="false" outlineLevel="0" collapsed="false">
      <c r="A327" s="7" t="n">
        <v>326</v>
      </c>
      <c r="B327" s="8"/>
      <c r="C327" s="8"/>
      <c r="D327" s="7"/>
      <c r="E327" s="7"/>
      <c r="F327" s="8"/>
      <c r="G327" s="7"/>
      <c r="H327" s="7"/>
      <c r="I327" s="8"/>
      <c r="J327" s="9"/>
      <c r="K327" s="9"/>
      <c r="L327" s="7"/>
      <c r="M327" s="7"/>
      <c r="N327" s="8"/>
      <c r="O327" s="9"/>
      <c r="P327" s="9"/>
      <c r="Q327" s="9"/>
      <c r="R327" s="9"/>
      <c r="S327" s="8"/>
      <c r="T327" s="9" t="str">
        <f aca="false">IF(J327="","",EDATE(MAX(J327,K327,P327,Q327,R327),36))</f>
        <v/>
      </c>
      <c r="U327" s="9" t="str">
        <f aca="false">IF(OR(L327&lt;&gt;"Email",K327="",P327&lt;&gt;"",M327="Opposition",M327="Pas intéressé",M327="Client",M327="Rendez-vous pris",M327="Numéro erroné"),"",WORKDAY(K327,5))</f>
        <v/>
      </c>
      <c r="V327" s="9" t="str">
        <f aca="false">IF(OR(P327="",Q327&lt;&gt;"",M327="Opposition",M327="Pas intéressé",M327="Client",M327="Rendez-vous pris",M327="Numéro erroné"),"",WORKDAY(P327,7))</f>
        <v/>
      </c>
      <c r="W327" s="7" t="str">
        <f aca="true">IF(M327="Opposition","Ne pas contacter",IF(AND(U327&lt;&gt;"",U327&lt;=TODAY()),"Relance 1 à envoyer",IF(AND(V327&lt;&gt;"",V327&lt;=TODAY()),"Relance 2 à envoyer",IF(AND(O327&lt;&gt;"",O327&lt;=TODAY()),"Rappel à faire",""))))</f>
        <v/>
      </c>
    </row>
    <row r="328" customFormat="false" ht="15" hidden="false" customHeight="false" outlineLevel="0" collapsed="false">
      <c r="A328" s="7" t="n">
        <v>327</v>
      </c>
      <c r="B328" s="8"/>
      <c r="C328" s="8"/>
      <c r="D328" s="7"/>
      <c r="E328" s="7"/>
      <c r="F328" s="8"/>
      <c r="G328" s="7"/>
      <c r="H328" s="7"/>
      <c r="I328" s="8"/>
      <c r="J328" s="9"/>
      <c r="K328" s="9"/>
      <c r="L328" s="7"/>
      <c r="M328" s="7"/>
      <c r="N328" s="8"/>
      <c r="O328" s="9"/>
      <c r="P328" s="9"/>
      <c r="Q328" s="9"/>
      <c r="R328" s="9"/>
      <c r="S328" s="8"/>
      <c r="T328" s="9" t="str">
        <f aca="false">IF(J328="","",EDATE(MAX(J328,K328,P328,Q328,R328),36))</f>
        <v/>
      </c>
      <c r="U328" s="9" t="str">
        <f aca="false">IF(OR(L328&lt;&gt;"Email",K328="",P328&lt;&gt;"",M328="Opposition",M328="Pas intéressé",M328="Client",M328="Rendez-vous pris",M328="Numéro erroné"),"",WORKDAY(K328,5))</f>
        <v/>
      </c>
      <c r="V328" s="9" t="str">
        <f aca="false">IF(OR(P328="",Q328&lt;&gt;"",M328="Opposition",M328="Pas intéressé",M328="Client",M328="Rendez-vous pris",M328="Numéro erroné"),"",WORKDAY(P328,7))</f>
        <v/>
      </c>
      <c r="W328" s="7" t="str">
        <f aca="true">IF(M328="Opposition","Ne pas contacter",IF(AND(U328&lt;&gt;"",U328&lt;=TODAY()),"Relance 1 à envoyer",IF(AND(V328&lt;&gt;"",V328&lt;=TODAY()),"Relance 2 à envoyer",IF(AND(O328&lt;&gt;"",O328&lt;=TODAY()),"Rappel à faire",""))))</f>
        <v/>
      </c>
    </row>
    <row r="329" customFormat="false" ht="15" hidden="false" customHeight="false" outlineLevel="0" collapsed="false">
      <c r="A329" s="7" t="n">
        <v>328</v>
      </c>
      <c r="B329" s="8"/>
      <c r="C329" s="8"/>
      <c r="D329" s="7"/>
      <c r="E329" s="7"/>
      <c r="F329" s="8"/>
      <c r="G329" s="7"/>
      <c r="H329" s="7"/>
      <c r="I329" s="8"/>
      <c r="J329" s="9"/>
      <c r="K329" s="9"/>
      <c r="L329" s="7"/>
      <c r="M329" s="7"/>
      <c r="N329" s="8"/>
      <c r="O329" s="9"/>
      <c r="P329" s="9"/>
      <c r="Q329" s="9"/>
      <c r="R329" s="9"/>
      <c r="S329" s="8"/>
      <c r="T329" s="9" t="str">
        <f aca="false">IF(J329="","",EDATE(MAX(J329,K329,P329,Q329,R329),36))</f>
        <v/>
      </c>
      <c r="U329" s="9" t="str">
        <f aca="false">IF(OR(L329&lt;&gt;"Email",K329="",P329&lt;&gt;"",M329="Opposition",M329="Pas intéressé",M329="Client",M329="Rendez-vous pris",M329="Numéro erroné"),"",WORKDAY(K329,5))</f>
        <v/>
      </c>
      <c r="V329" s="9" t="str">
        <f aca="false">IF(OR(P329="",Q329&lt;&gt;"",M329="Opposition",M329="Pas intéressé",M329="Client",M329="Rendez-vous pris",M329="Numéro erroné"),"",WORKDAY(P329,7))</f>
        <v/>
      </c>
      <c r="W329" s="7" t="str">
        <f aca="true">IF(M329="Opposition","Ne pas contacter",IF(AND(U329&lt;&gt;"",U329&lt;=TODAY()),"Relance 1 à envoyer",IF(AND(V329&lt;&gt;"",V329&lt;=TODAY()),"Relance 2 à envoyer",IF(AND(O329&lt;&gt;"",O329&lt;=TODAY()),"Rappel à faire",""))))</f>
        <v/>
      </c>
    </row>
    <row r="330" customFormat="false" ht="15" hidden="false" customHeight="false" outlineLevel="0" collapsed="false">
      <c r="A330" s="7" t="n">
        <v>329</v>
      </c>
      <c r="B330" s="8"/>
      <c r="C330" s="8"/>
      <c r="D330" s="7"/>
      <c r="E330" s="7"/>
      <c r="F330" s="8"/>
      <c r="G330" s="7"/>
      <c r="H330" s="7"/>
      <c r="I330" s="8"/>
      <c r="J330" s="9"/>
      <c r="K330" s="9"/>
      <c r="L330" s="7"/>
      <c r="M330" s="7"/>
      <c r="N330" s="8"/>
      <c r="O330" s="9"/>
      <c r="P330" s="9"/>
      <c r="Q330" s="9"/>
      <c r="R330" s="9"/>
      <c r="S330" s="8"/>
      <c r="T330" s="9" t="str">
        <f aca="false">IF(J330="","",EDATE(MAX(J330,K330,P330,Q330,R330),36))</f>
        <v/>
      </c>
      <c r="U330" s="9" t="str">
        <f aca="false">IF(OR(L330&lt;&gt;"Email",K330="",P330&lt;&gt;"",M330="Opposition",M330="Pas intéressé",M330="Client",M330="Rendez-vous pris",M330="Numéro erroné"),"",WORKDAY(K330,5))</f>
        <v/>
      </c>
      <c r="V330" s="9" t="str">
        <f aca="false">IF(OR(P330="",Q330&lt;&gt;"",M330="Opposition",M330="Pas intéressé",M330="Client",M330="Rendez-vous pris",M330="Numéro erroné"),"",WORKDAY(P330,7))</f>
        <v/>
      </c>
      <c r="W330" s="7" t="str">
        <f aca="true">IF(M330="Opposition","Ne pas contacter",IF(AND(U330&lt;&gt;"",U330&lt;=TODAY()),"Relance 1 à envoyer",IF(AND(V330&lt;&gt;"",V330&lt;=TODAY()),"Relance 2 à envoyer",IF(AND(O330&lt;&gt;"",O330&lt;=TODAY()),"Rappel à faire",""))))</f>
        <v/>
      </c>
    </row>
    <row r="331" customFormat="false" ht="15" hidden="false" customHeight="false" outlineLevel="0" collapsed="false">
      <c r="A331" s="7" t="n">
        <v>330</v>
      </c>
      <c r="B331" s="8"/>
      <c r="C331" s="8"/>
      <c r="D331" s="7"/>
      <c r="E331" s="7"/>
      <c r="F331" s="8"/>
      <c r="G331" s="7"/>
      <c r="H331" s="7"/>
      <c r="I331" s="8"/>
      <c r="J331" s="9"/>
      <c r="K331" s="9"/>
      <c r="L331" s="7"/>
      <c r="M331" s="7"/>
      <c r="N331" s="8"/>
      <c r="O331" s="9"/>
      <c r="P331" s="9"/>
      <c r="Q331" s="9"/>
      <c r="R331" s="9"/>
      <c r="S331" s="8"/>
      <c r="T331" s="9" t="str">
        <f aca="false">IF(J331="","",EDATE(MAX(J331,K331,P331,Q331,R331),36))</f>
        <v/>
      </c>
      <c r="U331" s="9" t="str">
        <f aca="false">IF(OR(L331&lt;&gt;"Email",K331="",P331&lt;&gt;"",M331="Opposition",M331="Pas intéressé",M331="Client",M331="Rendez-vous pris",M331="Numéro erroné"),"",WORKDAY(K331,5))</f>
        <v/>
      </c>
      <c r="V331" s="9" t="str">
        <f aca="false">IF(OR(P331="",Q331&lt;&gt;"",M331="Opposition",M331="Pas intéressé",M331="Client",M331="Rendez-vous pris",M331="Numéro erroné"),"",WORKDAY(P331,7))</f>
        <v/>
      </c>
      <c r="W331" s="7" t="str">
        <f aca="true">IF(M331="Opposition","Ne pas contacter",IF(AND(U331&lt;&gt;"",U331&lt;=TODAY()),"Relance 1 à envoyer",IF(AND(V331&lt;&gt;"",V331&lt;=TODAY()),"Relance 2 à envoyer",IF(AND(O331&lt;&gt;"",O331&lt;=TODAY()),"Rappel à faire",""))))</f>
        <v/>
      </c>
    </row>
    <row r="332" customFormat="false" ht="15" hidden="false" customHeight="false" outlineLevel="0" collapsed="false">
      <c r="A332" s="7" t="n">
        <v>331</v>
      </c>
      <c r="B332" s="8"/>
      <c r="C332" s="8"/>
      <c r="D332" s="7"/>
      <c r="E332" s="7"/>
      <c r="F332" s="8"/>
      <c r="G332" s="7"/>
      <c r="H332" s="7"/>
      <c r="I332" s="8"/>
      <c r="J332" s="9"/>
      <c r="K332" s="9"/>
      <c r="L332" s="7"/>
      <c r="M332" s="7"/>
      <c r="N332" s="8"/>
      <c r="O332" s="9"/>
      <c r="P332" s="9"/>
      <c r="Q332" s="9"/>
      <c r="R332" s="9"/>
      <c r="S332" s="8"/>
      <c r="T332" s="9" t="str">
        <f aca="false">IF(J332="","",EDATE(MAX(J332,K332,P332,Q332,R332),36))</f>
        <v/>
      </c>
      <c r="U332" s="9" t="str">
        <f aca="false">IF(OR(L332&lt;&gt;"Email",K332="",P332&lt;&gt;"",M332="Opposition",M332="Pas intéressé",M332="Client",M332="Rendez-vous pris",M332="Numéro erroné"),"",WORKDAY(K332,5))</f>
        <v/>
      </c>
      <c r="V332" s="9" t="str">
        <f aca="false">IF(OR(P332="",Q332&lt;&gt;"",M332="Opposition",M332="Pas intéressé",M332="Client",M332="Rendez-vous pris",M332="Numéro erroné"),"",WORKDAY(P332,7))</f>
        <v/>
      </c>
      <c r="W332" s="7" t="str">
        <f aca="true">IF(M332="Opposition","Ne pas contacter",IF(AND(U332&lt;&gt;"",U332&lt;=TODAY()),"Relance 1 à envoyer",IF(AND(V332&lt;&gt;"",V332&lt;=TODAY()),"Relance 2 à envoyer",IF(AND(O332&lt;&gt;"",O332&lt;=TODAY()),"Rappel à faire",""))))</f>
        <v/>
      </c>
    </row>
    <row r="333" customFormat="false" ht="15" hidden="false" customHeight="false" outlineLevel="0" collapsed="false">
      <c r="A333" s="7" t="n">
        <v>332</v>
      </c>
      <c r="B333" s="8"/>
      <c r="C333" s="8"/>
      <c r="D333" s="7"/>
      <c r="E333" s="7"/>
      <c r="F333" s="8"/>
      <c r="G333" s="7"/>
      <c r="H333" s="7"/>
      <c r="I333" s="8"/>
      <c r="J333" s="9"/>
      <c r="K333" s="9"/>
      <c r="L333" s="7"/>
      <c r="M333" s="7"/>
      <c r="N333" s="8"/>
      <c r="O333" s="9"/>
      <c r="P333" s="9"/>
      <c r="Q333" s="9"/>
      <c r="R333" s="9"/>
      <c r="S333" s="8"/>
      <c r="T333" s="9" t="str">
        <f aca="false">IF(J333="","",EDATE(MAX(J333,K333,P333,Q333,R333),36))</f>
        <v/>
      </c>
      <c r="U333" s="9" t="str">
        <f aca="false">IF(OR(L333&lt;&gt;"Email",K333="",P333&lt;&gt;"",M333="Opposition",M333="Pas intéressé",M333="Client",M333="Rendez-vous pris",M333="Numéro erroné"),"",WORKDAY(K333,5))</f>
        <v/>
      </c>
      <c r="V333" s="9" t="str">
        <f aca="false">IF(OR(P333="",Q333&lt;&gt;"",M333="Opposition",M333="Pas intéressé",M333="Client",M333="Rendez-vous pris",M333="Numéro erroné"),"",WORKDAY(P333,7))</f>
        <v/>
      </c>
      <c r="W333" s="7" t="str">
        <f aca="true">IF(M333="Opposition","Ne pas contacter",IF(AND(U333&lt;&gt;"",U333&lt;=TODAY()),"Relance 1 à envoyer",IF(AND(V333&lt;&gt;"",V333&lt;=TODAY()),"Relance 2 à envoyer",IF(AND(O333&lt;&gt;"",O333&lt;=TODAY()),"Rappel à faire",""))))</f>
        <v/>
      </c>
    </row>
    <row r="334" customFormat="false" ht="15" hidden="false" customHeight="false" outlineLevel="0" collapsed="false">
      <c r="A334" s="7" t="n">
        <v>333</v>
      </c>
      <c r="B334" s="8"/>
      <c r="C334" s="8"/>
      <c r="D334" s="7"/>
      <c r="E334" s="7"/>
      <c r="F334" s="8"/>
      <c r="G334" s="7"/>
      <c r="H334" s="7"/>
      <c r="I334" s="8"/>
      <c r="J334" s="9"/>
      <c r="K334" s="9"/>
      <c r="L334" s="7"/>
      <c r="M334" s="7"/>
      <c r="N334" s="8"/>
      <c r="O334" s="9"/>
      <c r="P334" s="9"/>
      <c r="Q334" s="9"/>
      <c r="R334" s="9"/>
      <c r="S334" s="8"/>
      <c r="T334" s="9" t="str">
        <f aca="false">IF(J334="","",EDATE(MAX(J334,K334,P334,Q334,R334),36))</f>
        <v/>
      </c>
      <c r="U334" s="9" t="str">
        <f aca="false">IF(OR(L334&lt;&gt;"Email",K334="",P334&lt;&gt;"",M334="Opposition",M334="Pas intéressé",M334="Client",M334="Rendez-vous pris",M334="Numéro erroné"),"",WORKDAY(K334,5))</f>
        <v/>
      </c>
      <c r="V334" s="9" t="str">
        <f aca="false">IF(OR(P334="",Q334&lt;&gt;"",M334="Opposition",M334="Pas intéressé",M334="Client",M334="Rendez-vous pris",M334="Numéro erroné"),"",WORKDAY(P334,7))</f>
        <v/>
      </c>
      <c r="W334" s="7" t="str">
        <f aca="true">IF(M334="Opposition","Ne pas contacter",IF(AND(U334&lt;&gt;"",U334&lt;=TODAY()),"Relance 1 à envoyer",IF(AND(V334&lt;&gt;"",V334&lt;=TODAY()),"Relance 2 à envoyer",IF(AND(O334&lt;&gt;"",O334&lt;=TODAY()),"Rappel à faire",""))))</f>
        <v/>
      </c>
    </row>
    <row r="335" customFormat="false" ht="15" hidden="false" customHeight="false" outlineLevel="0" collapsed="false">
      <c r="A335" s="7" t="n">
        <v>334</v>
      </c>
      <c r="B335" s="8"/>
      <c r="C335" s="8"/>
      <c r="D335" s="7"/>
      <c r="E335" s="7"/>
      <c r="F335" s="8"/>
      <c r="G335" s="7"/>
      <c r="H335" s="7"/>
      <c r="I335" s="8"/>
      <c r="J335" s="9"/>
      <c r="K335" s="9"/>
      <c r="L335" s="7"/>
      <c r="M335" s="7"/>
      <c r="N335" s="8"/>
      <c r="O335" s="9"/>
      <c r="P335" s="9"/>
      <c r="Q335" s="9"/>
      <c r="R335" s="9"/>
      <c r="S335" s="8"/>
      <c r="T335" s="9" t="str">
        <f aca="false">IF(J335="","",EDATE(MAX(J335,K335,P335,Q335,R335),36))</f>
        <v/>
      </c>
      <c r="U335" s="9" t="str">
        <f aca="false">IF(OR(L335&lt;&gt;"Email",K335="",P335&lt;&gt;"",M335="Opposition",M335="Pas intéressé",M335="Client",M335="Rendez-vous pris",M335="Numéro erroné"),"",WORKDAY(K335,5))</f>
        <v/>
      </c>
      <c r="V335" s="9" t="str">
        <f aca="false">IF(OR(P335="",Q335&lt;&gt;"",M335="Opposition",M335="Pas intéressé",M335="Client",M335="Rendez-vous pris",M335="Numéro erroné"),"",WORKDAY(P335,7))</f>
        <v/>
      </c>
      <c r="W335" s="7" t="str">
        <f aca="true">IF(M335="Opposition","Ne pas contacter",IF(AND(U335&lt;&gt;"",U335&lt;=TODAY()),"Relance 1 à envoyer",IF(AND(V335&lt;&gt;"",V335&lt;=TODAY()),"Relance 2 à envoyer",IF(AND(O335&lt;&gt;"",O335&lt;=TODAY()),"Rappel à faire",""))))</f>
        <v/>
      </c>
    </row>
    <row r="336" customFormat="false" ht="15" hidden="false" customHeight="false" outlineLevel="0" collapsed="false">
      <c r="A336" s="7" t="n">
        <v>335</v>
      </c>
      <c r="B336" s="8"/>
      <c r="C336" s="8"/>
      <c r="D336" s="7"/>
      <c r="E336" s="7"/>
      <c r="F336" s="8"/>
      <c r="G336" s="7"/>
      <c r="H336" s="7"/>
      <c r="I336" s="8"/>
      <c r="J336" s="9"/>
      <c r="K336" s="9"/>
      <c r="L336" s="7"/>
      <c r="M336" s="7"/>
      <c r="N336" s="8"/>
      <c r="O336" s="9"/>
      <c r="P336" s="9"/>
      <c r="Q336" s="9"/>
      <c r="R336" s="9"/>
      <c r="S336" s="8"/>
      <c r="T336" s="9" t="str">
        <f aca="false">IF(J336="","",EDATE(MAX(J336,K336,P336,Q336,R336),36))</f>
        <v/>
      </c>
      <c r="U336" s="9" t="str">
        <f aca="false">IF(OR(L336&lt;&gt;"Email",K336="",P336&lt;&gt;"",M336="Opposition",M336="Pas intéressé",M336="Client",M336="Rendez-vous pris",M336="Numéro erroné"),"",WORKDAY(K336,5))</f>
        <v/>
      </c>
      <c r="V336" s="9" t="str">
        <f aca="false">IF(OR(P336="",Q336&lt;&gt;"",M336="Opposition",M336="Pas intéressé",M336="Client",M336="Rendez-vous pris",M336="Numéro erroné"),"",WORKDAY(P336,7))</f>
        <v/>
      </c>
      <c r="W336" s="7" t="str">
        <f aca="true">IF(M336="Opposition","Ne pas contacter",IF(AND(U336&lt;&gt;"",U336&lt;=TODAY()),"Relance 1 à envoyer",IF(AND(V336&lt;&gt;"",V336&lt;=TODAY()),"Relance 2 à envoyer",IF(AND(O336&lt;&gt;"",O336&lt;=TODAY()),"Rappel à faire",""))))</f>
        <v/>
      </c>
    </row>
    <row r="337" customFormat="false" ht="15" hidden="false" customHeight="false" outlineLevel="0" collapsed="false">
      <c r="A337" s="7" t="n">
        <v>336</v>
      </c>
      <c r="B337" s="8"/>
      <c r="C337" s="8"/>
      <c r="D337" s="7"/>
      <c r="E337" s="7"/>
      <c r="F337" s="8"/>
      <c r="G337" s="7"/>
      <c r="H337" s="7"/>
      <c r="I337" s="8"/>
      <c r="J337" s="9"/>
      <c r="K337" s="9"/>
      <c r="L337" s="7"/>
      <c r="M337" s="7"/>
      <c r="N337" s="8"/>
      <c r="O337" s="9"/>
      <c r="P337" s="9"/>
      <c r="Q337" s="9"/>
      <c r="R337" s="9"/>
      <c r="S337" s="8"/>
      <c r="T337" s="9" t="str">
        <f aca="false">IF(J337="","",EDATE(MAX(J337,K337,P337,Q337,R337),36))</f>
        <v/>
      </c>
      <c r="U337" s="9" t="str">
        <f aca="false">IF(OR(L337&lt;&gt;"Email",K337="",P337&lt;&gt;"",M337="Opposition",M337="Pas intéressé",M337="Client",M337="Rendez-vous pris",M337="Numéro erroné"),"",WORKDAY(K337,5))</f>
        <v/>
      </c>
      <c r="V337" s="9" t="str">
        <f aca="false">IF(OR(P337="",Q337&lt;&gt;"",M337="Opposition",M337="Pas intéressé",M337="Client",M337="Rendez-vous pris",M337="Numéro erroné"),"",WORKDAY(P337,7))</f>
        <v/>
      </c>
      <c r="W337" s="7" t="str">
        <f aca="true">IF(M337="Opposition","Ne pas contacter",IF(AND(U337&lt;&gt;"",U337&lt;=TODAY()),"Relance 1 à envoyer",IF(AND(V337&lt;&gt;"",V337&lt;=TODAY()),"Relance 2 à envoyer",IF(AND(O337&lt;&gt;"",O337&lt;=TODAY()),"Rappel à faire",""))))</f>
        <v/>
      </c>
    </row>
    <row r="338" customFormat="false" ht="15" hidden="false" customHeight="false" outlineLevel="0" collapsed="false">
      <c r="A338" s="7" t="n">
        <v>337</v>
      </c>
      <c r="B338" s="8"/>
      <c r="C338" s="8"/>
      <c r="D338" s="7"/>
      <c r="E338" s="7"/>
      <c r="F338" s="8"/>
      <c r="G338" s="7"/>
      <c r="H338" s="7"/>
      <c r="I338" s="8"/>
      <c r="J338" s="9"/>
      <c r="K338" s="9"/>
      <c r="L338" s="7"/>
      <c r="M338" s="7"/>
      <c r="N338" s="8"/>
      <c r="O338" s="9"/>
      <c r="P338" s="9"/>
      <c r="Q338" s="9"/>
      <c r="R338" s="9"/>
      <c r="S338" s="8"/>
      <c r="T338" s="9" t="str">
        <f aca="false">IF(J338="","",EDATE(MAX(J338,K338,P338,Q338,R338),36))</f>
        <v/>
      </c>
      <c r="U338" s="9" t="str">
        <f aca="false">IF(OR(L338&lt;&gt;"Email",K338="",P338&lt;&gt;"",M338="Opposition",M338="Pas intéressé",M338="Client",M338="Rendez-vous pris",M338="Numéro erroné"),"",WORKDAY(K338,5))</f>
        <v/>
      </c>
      <c r="V338" s="9" t="str">
        <f aca="false">IF(OR(P338="",Q338&lt;&gt;"",M338="Opposition",M338="Pas intéressé",M338="Client",M338="Rendez-vous pris",M338="Numéro erroné"),"",WORKDAY(P338,7))</f>
        <v/>
      </c>
      <c r="W338" s="7" t="str">
        <f aca="true">IF(M338="Opposition","Ne pas contacter",IF(AND(U338&lt;&gt;"",U338&lt;=TODAY()),"Relance 1 à envoyer",IF(AND(V338&lt;&gt;"",V338&lt;=TODAY()),"Relance 2 à envoyer",IF(AND(O338&lt;&gt;"",O338&lt;=TODAY()),"Rappel à faire",""))))</f>
        <v/>
      </c>
    </row>
    <row r="339" customFormat="false" ht="15" hidden="false" customHeight="false" outlineLevel="0" collapsed="false">
      <c r="A339" s="7" t="n">
        <v>338</v>
      </c>
      <c r="B339" s="8"/>
      <c r="C339" s="8"/>
      <c r="D339" s="7"/>
      <c r="E339" s="7"/>
      <c r="F339" s="8"/>
      <c r="G339" s="7"/>
      <c r="H339" s="7"/>
      <c r="I339" s="8"/>
      <c r="J339" s="9"/>
      <c r="K339" s="9"/>
      <c r="L339" s="7"/>
      <c r="M339" s="7"/>
      <c r="N339" s="8"/>
      <c r="O339" s="9"/>
      <c r="P339" s="9"/>
      <c r="Q339" s="9"/>
      <c r="R339" s="9"/>
      <c r="S339" s="8"/>
      <c r="T339" s="9" t="str">
        <f aca="false">IF(J339="","",EDATE(MAX(J339,K339,P339,Q339,R339),36))</f>
        <v/>
      </c>
      <c r="U339" s="9" t="str">
        <f aca="false">IF(OR(L339&lt;&gt;"Email",K339="",P339&lt;&gt;"",M339="Opposition",M339="Pas intéressé",M339="Client",M339="Rendez-vous pris",M339="Numéro erroné"),"",WORKDAY(K339,5))</f>
        <v/>
      </c>
      <c r="V339" s="9" t="str">
        <f aca="false">IF(OR(P339="",Q339&lt;&gt;"",M339="Opposition",M339="Pas intéressé",M339="Client",M339="Rendez-vous pris",M339="Numéro erroné"),"",WORKDAY(P339,7))</f>
        <v/>
      </c>
      <c r="W339" s="7" t="str">
        <f aca="true">IF(M339="Opposition","Ne pas contacter",IF(AND(U339&lt;&gt;"",U339&lt;=TODAY()),"Relance 1 à envoyer",IF(AND(V339&lt;&gt;"",V339&lt;=TODAY()),"Relance 2 à envoyer",IF(AND(O339&lt;&gt;"",O339&lt;=TODAY()),"Rappel à faire",""))))</f>
        <v/>
      </c>
    </row>
    <row r="340" customFormat="false" ht="15" hidden="false" customHeight="false" outlineLevel="0" collapsed="false">
      <c r="A340" s="7" t="n">
        <v>339</v>
      </c>
      <c r="B340" s="8"/>
      <c r="C340" s="8"/>
      <c r="D340" s="7"/>
      <c r="E340" s="7"/>
      <c r="F340" s="8"/>
      <c r="G340" s="7"/>
      <c r="H340" s="7"/>
      <c r="I340" s="8"/>
      <c r="J340" s="9"/>
      <c r="K340" s="9"/>
      <c r="L340" s="7"/>
      <c r="M340" s="7"/>
      <c r="N340" s="8"/>
      <c r="O340" s="9"/>
      <c r="P340" s="9"/>
      <c r="Q340" s="9"/>
      <c r="R340" s="9"/>
      <c r="S340" s="8"/>
      <c r="T340" s="9" t="str">
        <f aca="false">IF(J340="","",EDATE(MAX(J340,K340,P340,Q340,R340),36))</f>
        <v/>
      </c>
      <c r="U340" s="9" t="str">
        <f aca="false">IF(OR(L340&lt;&gt;"Email",K340="",P340&lt;&gt;"",M340="Opposition",M340="Pas intéressé",M340="Client",M340="Rendez-vous pris",M340="Numéro erroné"),"",WORKDAY(K340,5))</f>
        <v/>
      </c>
      <c r="V340" s="9" t="str">
        <f aca="false">IF(OR(P340="",Q340&lt;&gt;"",M340="Opposition",M340="Pas intéressé",M340="Client",M340="Rendez-vous pris",M340="Numéro erroné"),"",WORKDAY(P340,7))</f>
        <v/>
      </c>
      <c r="W340" s="7" t="str">
        <f aca="true">IF(M340="Opposition","Ne pas contacter",IF(AND(U340&lt;&gt;"",U340&lt;=TODAY()),"Relance 1 à envoyer",IF(AND(V340&lt;&gt;"",V340&lt;=TODAY()),"Relance 2 à envoyer",IF(AND(O340&lt;&gt;"",O340&lt;=TODAY()),"Rappel à faire",""))))</f>
        <v/>
      </c>
    </row>
    <row r="341" customFormat="false" ht="15" hidden="false" customHeight="false" outlineLevel="0" collapsed="false">
      <c r="A341" s="7" t="n">
        <v>340</v>
      </c>
      <c r="B341" s="8"/>
      <c r="C341" s="8"/>
      <c r="D341" s="7"/>
      <c r="E341" s="7"/>
      <c r="F341" s="8"/>
      <c r="G341" s="7"/>
      <c r="H341" s="7"/>
      <c r="I341" s="8"/>
      <c r="J341" s="9"/>
      <c r="K341" s="9"/>
      <c r="L341" s="7"/>
      <c r="M341" s="7"/>
      <c r="N341" s="8"/>
      <c r="O341" s="9"/>
      <c r="P341" s="9"/>
      <c r="Q341" s="9"/>
      <c r="R341" s="9"/>
      <c r="S341" s="8"/>
      <c r="T341" s="9" t="str">
        <f aca="false">IF(J341="","",EDATE(MAX(J341,K341,P341,Q341,R341),36))</f>
        <v/>
      </c>
      <c r="U341" s="9" t="str">
        <f aca="false">IF(OR(L341&lt;&gt;"Email",K341="",P341&lt;&gt;"",M341="Opposition",M341="Pas intéressé",M341="Client",M341="Rendez-vous pris",M341="Numéro erroné"),"",WORKDAY(K341,5))</f>
        <v/>
      </c>
      <c r="V341" s="9" t="str">
        <f aca="false">IF(OR(P341="",Q341&lt;&gt;"",M341="Opposition",M341="Pas intéressé",M341="Client",M341="Rendez-vous pris",M341="Numéro erroné"),"",WORKDAY(P341,7))</f>
        <v/>
      </c>
      <c r="W341" s="7" t="str">
        <f aca="true">IF(M341="Opposition","Ne pas contacter",IF(AND(U341&lt;&gt;"",U341&lt;=TODAY()),"Relance 1 à envoyer",IF(AND(V341&lt;&gt;"",V341&lt;=TODAY()),"Relance 2 à envoyer",IF(AND(O341&lt;&gt;"",O341&lt;=TODAY()),"Rappel à faire",""))))</f>
        <v/>
      </c>
    </row>
    <row r="342" customFormat="false" ht="15" hidden="false" customHeight="false" outlineLevel="0" collapsed="false">
      <c r="A342" s="7" t="n">
        <v>341</v>
      </c>
      <c r="B342" s="8"/>
      <c r="C342" s="8"/>
      <c r="D342" s="7"/>
      <c r="E342" s="7"/>
      <c r="F342" s="8"/>
      <c r="G342" s="7"/>
      <c r="H342" s="7"/>
      <c r="I342" s="8"/>
      <c r="J342" s="9"/>
      <c r="K342" s="9"/>
      <c r="L342" s="7"/>
      <c r="M342" s="7"/>
      <c r="N342" s="8"/>
      <c r="O342" s="9"/>
      <c r="P342" s="9"/>
      <c r="Q342" s="9"/>
      <c r="R342" s="9"/>
      <c r="S342" s="8"/>
      <c r="T342" s="9" t="str">
        <f aca="false">IF(J342="","",EDATE(MAX(J342,K342,P342,Q342,R342),36))</f>
        <v/>
      </c>
      <c r="U342" s="9" t="str">
        <f aca="false">IF(OR(L342&lt;&gt;"Email",K342="",P342&lt;&gt;"",M342="Opposition",M342="Pas intéressé",M342="Client",M342="Rendez-vous pris",M342="Numéro erroné"),"",WORKDAY(K342,5))</f>
        <v/>
      </c>
      <c r="V342" s="9" t="str">
        <f aca="false">IF(OR(P342="",Q342&lt;&gt;"",M342="Opposition",M342="Pas intéressé",M342="Client",M342="Rendez-vous pris",M342="Numéro erroné"),"",WORKDAY(P342,7))</f>
        <v/>
      </c>
      <c r="W342" s="7" t="str">
        <f aca="true">IF(M342="Opposition","Ne pas contacter",IF(AND(U342&lt;&gt;"",U342&lt;=TODAY()),"Relance 1 à envoyer",IF(AND(V342&lt;&gt;"",V342&lt;=TODAY()),"Relance 2 à envoyer",IF(AND(O342&lt;&gt;"",O342&lt;=TODAY()),"Rappel à faire",""))))</f>
        <v/>
      </c>
    </row>
    <row r="343" customFormat="false" ht="15" hidden="false" customHeight="false" outlineLevel="0" collapsed="false">
      <c r="A343" s="7" t="n">
        <v>342</v>
      </c>
      <c r="B343" s="8"/>
      <c r="C343" s="8"/>
      <c r="D343" s="7"/>
      <c r="E343" s="7"/>
      <c r="F343" s="8"/>
      <c r="G343" s="7"/>
      <c r="H343" s="7"/>
      <c r="I343" s="8"/>
      <c r="J343" s="9"/>
      <c r="K343" s="9"/>
      <c r="L343" s="7"/>
      <c r="M343" s="7"/>
      <c r="N343" s="8"/>
      <c r="O343" s="9"/>
      <c r="P343" s="9"/>
      <c r="Q343" s="9"/>
      <c r="R343" s="9"/>
      <c r="S343" s="8"/>
      <c r="T343" s="9" t="str">
        <f aca="false">IF(J343="","",EDATE(MAX(J343,K343,P343,Q343,R343),36))</f>
        <v/>
      </c>
      <c r="U343" s="9" t="str">
        <f aca="false">IF(OR(L343&lt;&gt;"Email",K343="",P343&lt;&gt;"",M343="Opposition",M343="Pas intéressé",M343="Client",M343="Rendez-vous pris",M343="Numéro erroné"),"",WORKDAY(K343,5))</f>
        <v/>
      </c>
      <c r="V343" s="9" t="str">
        <f aca="false">IF(OR(P343="",Q343&lt;&gt;"",M343="Opposition",M343="Pas intéressé",M343="Client",M343="Rendez-vous pris",M343="Numéro erroné"),"",WORKDAY(P343,7))</f>
        <v/>
      </c>
      <c r="W343" s="7" t="str">
        <f aca="true">IF(M343="Opposition","Ne pas contacter",IF(AND(U343&lt;&gt;"",U343&lt;=TODAY()),"Relance 1 à envoyer",IF(AND(V343&lt;&gt;"",V343&lt;=TODAY()),"Relance 2 à envoyer",IF(AND(O343&lt;&gt;"",O343&lt;=TODAY()),"Rappel à faire",""))))</f>
        <v/>
      </c>
    </row>
    <row r="344" customFormat="false" ht="15" hidden="false" customHeight="false" outlineLevel="0" collapsed="false">
      <c r="A344" s="7" t="n">
        <v>343</v>
      </c>
      <c r="B344" s="8"/>
      <c r="C344" s="8"/>
      <c r="D344" s="7"/>
      <c r="E344" s="7"/>
      <c r="F344" s="8"/>
      <c r="G344" s="7"/>
      <c r="H344" s="7"/>
      <c r="I344" s="8"/>
      <c r="J344" s="9"/>
      <c r="K344" s="9"/>
      <c r="L344" s="7"/>
      <c r="M344" s="7"/>
      <c r="N344" s="8"/>
      <c r="O344" s="9"/>
      <c r="P344" s="9"/>
      <c r="Q344" s="9"/>
      <c r="R344" s="9"/>
      <c r="S344" s="8"/>
      <c r="T344" s="9" t="str">
        <f aca="false">IF(J344="","",EDATE(MAX(J344,K344,P344,Q344,R344),36))</f>
        <v/>
      </c>
      <c r="U344" s="9" t="str">
        <f aca="false">IF(OR(L344&lt;&gt;"Email",K344="",P344&lt;&gt;"",M344="Opposition",M344="Pas intéressé",M344="Client",M344="Rendez-vous pris",M344="Numéro erroné"),"",WORKDAY(K344,5))</f>
        <v/>
      </c>
      <c r="V344" s="9" t="str">
        <f aca="false">IF(OR(P344="",Q344&lt;&gt;"",M344="Opposition",M344="Pas intéressé",M344="Client",M344="Rendez-vous pris",M344="Numéro erroné"),"",WORKDAY(P344,7))</f>
        <v/>
      </c>
      <c r="W344" s="7" t="str">
        <f aca="true">IF(M344="Opposition","Ne pas contacter",IF(AND(U344&lt;&gt;"",U344&lt;=TODAY()),"Relance 1 à envoyer",IF(AND(V344&lt;&gt;"",V344&lt;=TODAY()),"Relance 2 à envoyer",IF(AND(O344&lt;&gt;"",O344&lt;=TODAY()),"Rappel à faire",""))))</f>
        <v/>
      </c>
    </row>
    <row r="345" customFormat="false" ht="15" hidden="false" customHeight="false" outlineLevel="0" collapsed="false">
      <c r="A345" s="7" t="n">
        <v>344</v>
      </c>
      <c r="B345" s="8"/>
      <c r="C345" s="8"/>
      <c r="D345" s="7"/>
      <c r="E345" s="7"/>
      <c r="F345" s="8"/>
      <c r="G345" s="7"/>
      <c r="H345" s="7"/>
      <c r="I345" s="8"/>
      <c r="J345" s="9"/>
      <c r="K345" s="9"/>
      <c r="L345" s="7"/>
      <c r="M345" s="7"/>
      <c r="N345" s="8"/>
      <c r="O345" s="9"/>
      <c r="P345" s="9"/>
      <c r="Q345" s="9"/>
      <c r="R345" s="9"/>
      <c r="S345" s="8"/>
      <c r="T345" s="9" t="str">
        <f aca="false">IF(J345="","",EDATE(MAX(J345,K345,P345,Q345,R345),36))</f>
        <v/>
      </c>
      <c r="U345" s="9" t="str">
        <f aca="false">IF(OR(L345&lt;&gt;"Email",K345="",P345&lt;&gt;"",M345="Opposition",M345="Pas intéressé",M345="Client",M345="Rendez-vous pris",M345="Numéro erroné"),"",WORKDAY(K345,5))</f>
        <v/>
      </c>
      <c r="V345" s="9" t="str">
        <f aca="false">IF(OR(P345="",Q345&lt;&gt;"",M345="Opposition",M345="Pas intéressé",M345="Client",M345="Rendez-vous pris",M345="Numéro erroné"),"",WORKDAY(P345,7))</f>
        <v/>
      </c>
      <c r="W345" s="7" t="str">
        <f aca="true">IF(M345="Opposition","Ne pas contacter",IF(AND(U345&lt;&gt;"",U345&lt;=TODAY()),"Relance 1 à envoyer",IF(AND(V345&lt;&gt;"",V345&lt;=TODAY()),"Relance 2 à envoyer",IF(AND(O345&lt;&gt;"",O345&lt;=TODAY()),"Rappel à faire",""))))</f>
        <v/>
      </c>
    </row>
    <row r="346" customFormat="false" ht="15" hidden="false" customHeight="false" outlineLevel="0" collapsed="false">
      <c r="A346" s="7" t="n">
        <v>345</v>
      </c>
      <c r="B346" s="8"/>
      <c r="C346" s="8"/>
      <c r="D346" s="7"/>
      <c r="E346" s="7"/>
      <c r="F346" s="8"/>
      <c r="G346" s="7"/>
      <c r="H346" s="7"/>
      <c r="I346" s="8"/>
      <c r="J346" s="9"/>
      <c r="K346" s="9"/>
      <c r="L346" s="7"/>
      <c r="M346" s="7"/>
      <c r="N346" s="8"/>
      <c r="O346" s="9"/>
      <c r="P346" s="9"/>
      <c r="Q346" s="9"/>
      <c r="R346" s="9"/>
      <c r="S346" s="8"/>
      <c r="T346" s="9" t="str">
        <f aca="false">IF(J346="","",EDATE(MAX(J346,K346,P346,Q346,R346),36))</f>
        <v/>
      </c>
      <c r="U346" s="9" t="str">
        <f aca="false">IF(OR(L346&lt;&gt;"Email",K346="",P346&lt;&gt;"",M346="Opposition",M346="Pas intéressé",M346="Client",M346="Rendez-vous pris",M346="Numéro erroné"),"",WORKDAY(K346,5))</f>
        <v/>
      </c>
      <c r="V346" s="9" t="str">
        <f aca="false">IF(OR(P346="",Q346&lt;&gt;"",M346="Opposition",M346="Pas intéressé",M346="Client",M346="Rendez-vous pris",M346="Numéro erroné"),"",WORKDAY(P346,7))</f>
        <v/>
      </c>
      <c r="W346" s="7" t="str">
        <f aca="true">IF(M346="Opposition","Ne pas contacter",IF(AND(U346&lt;&gt;"",U346&lt;=TODAY()),"Relance 1 à envoyer",IF(AND(V346&lt;&gt;"",V346&lt;=TODAY()),"Relance 2 à envoyer",IF(AND(O346&lt;&gt;"",O346&lt;=TODAY()),"Rappel à faire",""))))</f>
        <v/>
      </c>
    </row>
    <row r="347" customFormat="false" ht="15" hidden="false" customHeight="false" outlineLevel="0" collapsed="false">
      <c r="A347" s="7" t="n">
        <v>346</v>
      </c>
      <c r="B347" s="8"/>
      <c r="C347" s="8"/>
      <c r="D347" s="7"/>
      <c r="E347" s="7"/>
      <c r="F347" s="8"/>
      <c r="G347" s="7"/>
      <c r="H347" s="7"/>
      <c r="I347" s="8"/>
      <c r="J347" s="9"/>
      <c r="K347" s="9"/>
      <c r="L347" s="7"/>
      <c r="M347" s="7"/>
      <c r="N347" s="8"/>
      <c r="O347" s="9"/>
      <c r="P347" s="9"/>
      <c r="Q347" s="9"/>
      <c r="R347" s="9"/>
      <c r="S347" s="8"/>
      <c r="T347" s="9" t="str">
        <f aca="false">IF(J347="","",EDATE(MAX(J347,K347,P347,Q347,R347),36))</f>
        <v/>
      </c>
      <c r="U347" s="9" t="str">
        <f aca="false">IF(OR(L347&lt;&gt;"Email",K347="",P347&lt;&gt;"",M347="Opposition",M347="Pas intéressé",M347="Client",M347="Rendez-vous pris",M347="Numéro erroné"),"",WORKDAY(K347,5))</f>
        <v/>
      </c>
      <c r="V347" s="9" t="str">
        <f aca="false">IF(OR(P347="",Q347&lt;&gt;"",M347="Opposition",M347="Pas intéressé",M347="Client",M347="Rendez-vous pris",M347="Numéro erroné"),"",WORKDAY(P347,7))</f>
        <v/>
      </c>
      <c r="W347" s="7" t="str">
        <f aca="true">IF(M347="Opposition","Ne pas contacter",IF(AND(U347&lt;&gt;"",U347&lt;=TODAY()),"Relance 1 à envoyer",IF(AND(V347&lt;&gt;"",V347&lt;=TODAY()),"Relance 2 à envoyer",IF(AND(O347&lt;&gt;"",O347&lt;=TODAY()),"Rappel à faire",""))))</f>
        <v/>
      </c>
    </row>
    <row r="348" customFormat="false" ht="15" hidden="false" customHeight="false" outlineLevel="0" collapsed="false">
      <c r="A348" s="7" t="n">
        <v>347</v>
      </c>
      <c r="B348" s="8"/>
      <c r="C348" s="8"/>
      <c r="D348" s="7"/>
      <c r="E348" s="7"/>
      <c r="F348" s="8"/>
      <c r="G348" s="7"/>
      <c r="H348" s="7"/>
      <c r="I348" s="8"/>
      <c r="J348" s="9"/>
      <c r="K348" s="9"/>
      <c r="L348" s="7"/>
      <c r="M348" s="7"/>
      <c r="N348" s="8"/>
      <c r="O348" s="9"/>
      <c r="P348" s="9"/>
      <c r="Q348" s="9"/>
      <c r="R348" s="9"/>
      <c r="S348" s="8"/>
      <c r="T348" s="9" t="str">
        <f aca="false">IF(J348="","",EDATE(MAX(J348,K348,P348,Q348,R348),36))</f>
        <v/>
      </c>
      <c r="U348" s="9" t="str">
        <f aca="false">IF(OR(L348&lt;&gt;"Email",K348="",P348&lt;&gt;"",M348="Opposition",M348="Pas intéressé",M348="Client",M348="Rendez-vous pris",M348="Numéro erroné"),"",WORKDAY(K348,5))</f>
        <v/>
      </c>
      <c r="V348" s="9" t="str">
        <f aca="false">IF(OR(P348="",Q348&lt;&gt;"",M348="Opposition",M348="Pas intéressé",M348="Client",M348="Rendez-vous pris",M348="Numéro erroné"),"",WORKDAY(P348,7))</f>
        <v/>
      </c>
      <c r="W348" s="7" t="str">
        <f aca="true">IF(M348="Opposition","Ne pas contacter",IF(AND(U348&lt;&gt;"",U348&lt;=TODAY()),"Relance 1 à envoyer",IF(AND(V348&lt;&gt;"",V348&lt;=TODAY()),"Relance 2 à envoyer",IF(AND(O348&lt;&gt;"",O348&lt;=TODAY()),"Rappel à faire",""))))</f>
        <v/>
      </c>
    </row>
    <row r="349" customFormat="false" ht="15" hidden="false" customHeight="false" outlineLevel="0" collapsed="false">
      <c r="A349" s="7" t="n">
        <v>348</v>
      </c>
      <c r="B349" s="8"/>
      <c r="C349" s="8"/>
      <c r="D349" s="7"/>
      <c r="E349" s="7"/>
      <c r="F349" s="8"/>
      <c r="G349" s="7"/>
      <c r="H349" s="7"/>
      <c r="I349" s="8"/>
      <c r="J349" s="9"/>
      <c r="K349" s="9"/>
      <c r="L349" s="7"/>
      <c r="M349" s="7"/>
      <c r="N349" s="8"/>
      <c r="O349" s="9"/>
      <c r="P349" s="9"/>
      <c r="Q349" s="9"/>
      <c r="R349" s="9"/>
      <c r="S349" s="8"/>
      <c r="T349" s="9" t="str">
        <f aca="false">IF(J349="","",EDATE(MAX(J349,K349,P349,Q349,R349),36))</f>
        <v/>
      </c>
      <c r="U349" s="9" t="str">
        <f aca="false">IF(OR(L349&lt;&gt;"Email",K349="",P349&lt;&gt;"",M349="Opposition",M349="Pas intéressé",M349="Client",M349="Rendez-vous pris",M349="Numéro erroné"),"",WORKDAY(K349,5))</f>
        <v/>
      </c>
      <c r="V349" s="9" t="str">
        <f aca="false">IF(OR(P349="",Q349&lt;&gt;"",M349="Opposition",M349="Pas intéressé",M349="Client",M349="Rendez-vous pris",M349="Numéro erroné"),"",WORKDAY(P349,7))</f>
        <v/>
      </c>
      <c r="W349" s="7" t="str">
        <f aca="true">IF(M349="Opposition","Ne pas contacter",IF(AND(U349&lt;&gt;"",U349&lt;=TODAY()),"Relance 1 à envoyer",IF(AND(V349&lt;&gt;"",V349&lt;=TODAY()),"Relance 2 à envoyer",IF(AND(O349&lt;&gt;"",O349&lt;=TODAY()),"Rappel à faire",""))))</f>
        <v/>
      </c>
    </row>
    <row r="350" customFormat="false" ht="15" hidden="false" customHeight="false" outlineLevel="0" collapsed="false">
      <c r="A350" s="7" t="n">
        <v>349</v>
      </c>
      <c r="B350" s="8"/>
      <c r="C350" s="8"/>
      <c r="D350" s="7"/>
      <c r="E350" s="7"/>
      <c r="F350" s="8"/>
      <c r="G350" s="7"/>
      <c r="H350" s="7"/>
      <c r="I350" s="8"/>
      <c r="J350" s="9"/>
      <c r="K350" s="9"/>
      <c r="L350" s="7"/>
      <c r="M350" s="7"/>
      <c r="N350" s="8"/>
      <c r="O350" s="9"/>
      <c r="P350" s="9"/>
      <c r="Q350" s="9"/>
      <c r="R350" s="9"/>
      <c r="S350" s="8"/>
      <c r="T350" s="9" t="str">
        <f aca="false">IF(J350="","",EDATE(MAX(J350,K350,P350,Q350,R350),36))</f>
        <v/>
      </c>
      <c r="U350" s="9" t="str">
        <f aca="false">IF(OR(L350&lt;&gt;"Email",K350="",P350&lt;&gt;"",M350="Opposition",M350="Pas intéressé",M350="Client",M350="Rendez-vous pris",M350="Numéro erroné"),"",WORKDAY(K350,5))</f>
        <v/>
      </c>
      <c r="V350" s="9" t="str">
        <f aca="false">IF(OR(P350="",Q350&lt;&gt;"",M350="Opposition",M350="Pas intéressé",M350="Client",M350="Rendez-vous pris",M350="Numéro erroné"),"",WORKDAY(P350,7))</f>
        <v/>
      </c>
      <c r="W350" s="7" t="str">
        <f aca="true">IF(M350="Opposition","Ne pas contacter",IF(AND(U350&lt;&gt;"",U350&lt;=TODAY()),"Relance 1 à envoyer",IF(AND(V350&lt;&gt;"",V350&lt;=TODAY()),"Relance 2 à envoyer",IF(AND(O350&lt;&gt;"",O350&lt;=TODAY()),"Rappel à faire",""))))</f>
        <v/>
      </c>
    </row>
    <row r="351" customFormat="false" ht="15" hidden="false" customHeight="false" outlineLevel="0" collapsed="false">
      <c r="A351" s="7" t="n">
        <v>350</v>
      </c>
      <c r="B351" s="8"/>
      <c r="C351" s="8"/>
      <c r="D351" s="7"/>
      <c r="E351" s="7"/>
      <c r="F351" s="8"/>
      <c r="G351" s="7"/>
      <c r="H351" s="7"/>
      <c r="I351" s="8"/>
      <c r="J351" s="9"/>
      <c r="K351" s="9"/>
      <c r="L351" s="7"/>
      <c r="M351" s="7"/>
      <c r="N351" s="8"/>
      <c r="O351" s="9"/>
      <c r="P351" s="9"/>
      <c r="Q351" s="9"/>
      <c r="R351" s="9"/>
      <c r="S351" s="8"/>
      <c r="T351" s="9" t="str">
        <f aca="false">IF(J351="","",EDATE(MAX(J351,K351,P351,Q351,R351),36))</f>
        <v/>
      </c>
      <c r="U351" s="9" t="str">
        <f aca="false">IF(OR(L351&lt;&gt;"Email",K351="",P351&lt;&gt;"",M351="Opposition",M351="Pas intéressé",M351="Client",M351="Rendez-vous pris",M351="Numéro erroné"),"",WORKDAY(K351,5))</f>
        <v/>
      </c>
      <c r="V351" s="9" t="str">
        <f aca="false">IF(OR(P351="",Q351&lt;&gt;"",M351="Opposition",M351="Pas intéressé",M351="Client",M351="Rendez-vous pris",M351="Numéro erroné"),"",WORKDAY(P351,7))</f>
        <v/>
      </c>
      <c r="W351" s="7" t="str">
        <f aca="true">IF(M351="Opposition","Ne pas contacter",IF(AND(U351&lt;&gt;"",U351&lt;=TODAY()),"Relance 1 à envoyer",IF(AND(V351&lt;&gt;"",V351&lt;=TODAY()),"Relance 2 à envoyer",IF(AND(O351&lt;&gt;"",O351&lt;=TODAY()),"Rappel à faire",""))))</f>
        <v/>
      </c>
    </row>
    <row r="352" customFormat="false" ht="15" hidden="false" customHeight="false" outlineLevel="0" collapsed="false">
      <c r="A352" s="7" t="n">
        <v>351</v>
      </c>
      <c r="B352" s="8"/>
      <c r="C352" s="8"/>
      <c r="D352" s="7"/>
      <c r="E352" s="7"/>
      <c r="F352" s="8"/>
      <c r="G352" s="7"/>
      <c r="H352" s="7"/>
      <c r="I352" s="8"/>
      <c r="J352" s="9"/>
      <c r="K352" s="9"/>
      <c r="L352" s="7"/>
      <c r="M352" s="7"/>
      <c r="N352" s="8"/>
      <c r="O352" s="9"/>
      <c r="P352" s="9"/>
      <c r="Q352" s="9"/>
      <c r="R352" s="9"/>
      <c r="S352" s="8"/>
      <c r="T352" s="9" t="str">
        <f aca="false">IF(J352="","",EDATE(MAX(J352,K352,P352,Q352,R352),36))</f>
        <v/>
      </c>
      <c r="U352" s="9" t="str">
        <f aca="false">IF(OR(L352&lt;&gt;"Email",K352="",P352&lt;&gt;"",M352="Opposition",M352="Pas intéressé",M352="Client",M352="Rendez-vous pris",M352="Numéro erroné"),"",WORKDAY(K352,5))</f>
        <v/>
      </c>
      <c r="V352" s="9" t="str">
        <f aca="false">IF(OR(P352="",Q352&lt;&gt;"",M352="Opposition",M352="Pas intéressé",M352="Client",M352="Rendez-vous pris",M352="Numéro erroné"),"",WORKDAY(P352,7))</f>
        <v/>
      </c>
      <c r="W352" s="7" t="str">
        <f aca="true">IF(M352="Opposition","Ne pas contacter",IF(AND(U352&lt;&gt;"",U352&lt;=TODAY()),"Relance 1 à envoyer",IF(AND(V352&lt;&gt;"",V352&lt;=TODAY()),"Relance 2 à envoyer",IF(AND(O352&lt;&gt;"",O352&lt;=TODAY()),"Rappel à faire",""))))</f>
        <v/>
      </c>
    </row>
    <row r="353" customFormat="false" ht="15" hidden="false" customHeight="false" outlineLevel="0" collapsed="false">
      <c r="A353" s="7" t="n">
        <v>352</v>
      </c>
      <c r="B353" s="8"/>
      <c r="C353" s="8"/>
      <c r="D353" s="7"/>
      <c r="E353" s="7"/>
      <c r="F353" s="8"/>
      <c r="G353" s="7"/>
      <c r="H353" s="7"/>
      <c r="I353" s="8"/>
      <c r="J353" s="9"/>
      <c r="K353" s="9"/>
      <c r="L353" s="7"/>
      <c r="M353" s="7"/>
      <c r="N353" s="8"/>
      <c r="O353" s="9"/>
      <c r="P353" s="9"/>
      <c r="Q353" s="9"/>
      <c r="R353" s="9"/>
      <c r="S353" s="8"/>
      <c r="T353" s="9" t="str">
        <f aca="false">IF(J353="","",EDATE(MAX(J353,K353,P353,Q353,R353),36))</f>
        <v/>
      </c>
      <c r="U353" s="9" t="str">
        <f aca="false">IF(OR(L353&lt;&gt;"Email",K353="",P353&lt;&gt;"",M353="Opposition",M353="Pas intéressé",M353="Client",M353="Rendez-vous pris",M353="Numéro erroné"),"",WORKDAY(K353,5))</f>
        <v/>
      </c>
      <c r="V353" s="9" t="str">
        <f aca="false">IF(OR(P353="",Q353&lt;&gt;"",M353="Opposition",M353="Pas intéressé",M353="Client",M353="Rendez-vous pris",M353="Numéro erroné"),"",WORKDAY(P353,7))</f>
        <v/>
      </c>
      <c r="W353" s="7" t="str">
        <f aca="true">IF(M353="Opposition","Ne pas contacter",IF(AND(U353&lt;&gt;"",U353&lt;=TODAY()),"Relance 1 à envoyer",IF(AND(V353&lt;&gt;"",V353&lt;=TODAY()),"Relance 2 à envoyer",IF(AND(O353&lt;&gt;"",O353&lt;=TODAY()),"Rappel à faire",""))))</f>
        <v/>
      </c>
    </row>
    <row r="354" customFormat="false" ht="15" hidden="false" customHeight="false" outlineLevel="0" collapsed="false">
      <c r="A354" s="7" t="n">
        <v>353</v>
      </c>
      <c r="B354" s="8"/>
      <c r="C354" s="8"/>
      <c r="D354" s="7"/>
      <c r="E354" s="7"/>
      <c r="F354" s="8"/>
      <c r="G354" s="7"/>
      <c r="H354" s="7"/>
      <c r="I354" s="8"/>
      <c r="J354" s="9"/>
      <c r="K354" s="9"/>
      <c r="L354" s="7"/>
      <c r="M354" s="7"/>
      <c r="N354" s="8"/>
      <c r="O354" s="9"/>
      <c r="P354" s="9"/>
      <c r="Q354" s="9"/>
      <c r="R354" s="9"/>
      <c r="S354" s="8"/>
      <c r="T354" s="9" t="str">
        <f aca="false">IF(J354="","",EDATE(MAX(J354,K354,P354,Q354,R354),36))</f>
        <v/>
      </c>
      <c r="U354" s="9" t="str">
        <f aca="false">IF(OR(L354&lt;&gt;"Email",K354="",P354&lt;&gt;"",M354="Opposition",M354="Pas intéressé",M354="Client",M354="Rendez-vous pris",M354="Numéro erroné"),"",WORKDAY(K354,5))</f>
        <v/>
      </c>
      <c r="V354" s="9" t="str">
        <f aca="false">IF(OR(P354="",Q354&lt;&gt;"",M354="Opposition",M354="Pas intéressé",M354="Client",M354="Rendez-vous pris",M354="Numéro erroné"),"",WORKDAY(P354,7))</f>
        <v/>
      </c>
      <c r="W354" s="7" t="str">
        <f aca="true">IF(M354="Opposition","Ne pas contacter",IF(AND(U354&lt;&gt;"",U354&lt;=TODAY()),"Relance 1 à envoyer",IF(AND(V354&lt;&gt;"",V354&lt;=TODAY()),"Relance 2 à envoyer",IF(AND(O354&lt;&gt;"",O354&lt;=TODAY()),"Rappel à faire",""))))</f>
        <v/>
      </c>
    </row>
    <row r="355" customFormat="false" ht="15" hidden="false" customHeight="false" outlineLevel="0" collapsed="false">
      <c r="A355" s="7" t="n">
        <v>354</v>
      </c>
      <c r="B355" s="8"/>
      <c r="C355" s="8"/>
      <c r="D355" s="7"/>
      <c r="E355" s="7"/>
      <c r="F355" s="8"/>
      <c r="G355" s="7"/>
      <c r="H355" s="7"/>
      <c r="I355" s="8"/>
      <c r="J355" s="9"/>
      <c r="K355" s="9"/>
      <c r="L355" s="7"/>
      <c r="M355" s="7"/>
      <c r="N355" s="8"/>
      <c r="O355" s="9"/>
      <c r="P355" s="9"/>
      <c r="Q355" s="9"/>
      <c r="R355" s="9"/>
      <c r="S355" s="8"/>
      <c r="T355" s="9" t="str">
        <f aca="false">IF(J355="","",EDATE(MAX(J355,K355,P355,Q355,R355),36))</f>
        <v/>
      </c>
      <c r="U355" s="9" t="str">
        <f aca="false">IF(OR(L355&lt;&gt;"Email",K355="",P355&lt;&gt;"",M355="Opposition",M355="Pas intéressé",M355="Client",M355="Rendez-vous pris",M355="Numéro erroné"),"",WORKDAY(K355,5))</f>
        <v/>
      </c>
      <c r="V355" s="9" t="str">
        <f aca="false">IF(OR(P355="",Q355&lt;&gt;"",M355="Opposition",M355="Pas intéressé",M355="Client",M355="Rendez-vous pris",M355="Numéro erroné"),"",WORKDAY(P355,7))</f>
        <v/>
      </c>
      <c r="W355" s="7" t="str">
        <f aca="true">IF(M355="Opposition","Ne pas contacter",IF(AND(U355&lt;&gt;"",U355&lt;=TODAY()),"Relance 1 à envoyer",IF(AND(V355&lt;&gt;"",V355&lt;=TODAY()),"Relance 2 à envoyer",IF(AND(O355&lt;&gt;"",O355&lt;=TODAY()),"Rappel à faire",""))))</f>
        <v/>
      </c>
    </row>
    <row r="356" customFormat="false" ht="15" hidden="false" customHeight="false" outlineLevel="0" collapsed="false">
      <c r="A356" s="7" t="n">
        <v>355</v>
      </c>
      <c r="B356" s="8"/>
      <c r="C356" s="8"/>
      <c r="D356" s="7"/>
      <c r="E356" s="7"/>
      <c r="F356" s="8"/>
      <c r="G356" s="7"/>
      <c r="H356" s="7"/>
      <c r="I356" s="8"/>
      <c r="J356" s="9"/>
      <c r="K356" s="9"/>
      <c r="L356" s="7"/>
      <c r="M356" s="7"/>
      <c r="N356" s="8"/>
      <c r="O356" s="9"/>
      <c r="P356" s="9"/>
      <c r="Q356" s="9"/>
      <c r="R356" s="9"/>
      <c r="S356" s="8"/>
      <c r="T356" s="9" t="str">
        <f aca="false">IF(J356="","",EDATE(MAX(J356,K356,P356,Q356,R356),36))</f>
        <v/>
      </c>
      <c r="U356" s="9" t="str">
        <f aca="false">IF(OR(L356&lt;&gt;"Email",K356="",P356&lt;&gt;"",M356="Opposition",M356="Pas intéressé",M356="Client",M356="Rendez-vous pris",M356="Numéro erroné"),"",WORKDAY(K356,5))</f>
        <v/>
      </c>
      <c r="V356" s="9" t="str">
        <f aca="false">IF(OR(P356="",Q356&lt;&gt;"",M356="Opposition",M356="Pas intéressé",M356="Client",M356="Rendez-vous pris",M356="Numéro erroné"),"",WORKDAY(P356,7))</f>
        <v/>
      </c>
      <c r="W356" s="7" t="str">
        <f aca="true">IF(M356="Opposition","Ne pas contacter",IF(AND(U356&lt;&gt;"",U356&lt;=TODAY()),"Relance 1 à envoyer",IF(AND(V356&lt;&gt;"",V356&lt;=TODAY()),"Relance 2 à envoyer",IF(AND(O356&lt;&gt;"",O356&lt;=TODAY()),"Rappel à faire",""))))</f>
        <v/>
      </c>
    </row>
    <row r="357" customFormat="false" ht="15" hidden="false" customHeight="false" outlineLevel="0" collapsed="false">
      <c r="A357" s="7" t="n">
        <v>356</v>
      </c>
      <c r="B357" s="8"/>
      <c r="C357" s="8"/>
      <c r="D357" s="7"/>
      <c r="E357" s="7"/>
      <c r="F357" s="8"/>
      <c r="G357" s="7"/>
      <c r="H357" s="7"/>
      <c r="I357" s="8"/>
      <c r="J357" s="9"/>
      <c r="K357" s="9"/>
      <c r="L357" s="7"/>
      <c r="M357" s="7"/>
      <c r="N357" s="8"/>
      <c r="O357" s="9"/>
      <c r="P357" s="9"/>
      <c r="Q357" s="9"/>
      <c r="R357" s="9"/>
      <c r="S357" s="8"/>
      <c r="T357" s="9" t="str">
        <f aca="false">IF(J357="","",EDATE(MAX(J357,K357,P357,Q357,R357),36))</f>
        <v/>
      </c>
      <c r="U357" s="9" t="str">
        <f aca="false">IF(OR(L357&lt;&gt;"Email",K357="",P357&lt;&gt;"",M357="Opposition",M357="Pas intéressé",M357="Client",M357="Rendez-vous pris",M357="Numéro erroné"),"",WORKDAY(K357,5))</f>
        <v/>
      </c>
      <c r="V357" s="9" t="str">
        <f aca="false">IF(OR(P357="",Q357&lt;&gt;"",M357="Opposition",M357="Pas intéressé",M357="Client",M357="Rendez-vous pris",M357="Numéro erroné"),"",WORKDAY(P357,7))</f>
        <v/>
      </c>
      <c r="W357" s="7" t="str">
        <f aca="true">IF(M357="Opposition","Ne pas contacter",IF(AND(U357&lt;&gt;"",U357&lt;=TODAY()),"Relance 1 à envoyer",IF(AND(V357&lt;&gt;"",V357&lt;=TODAY()),"Relance 2 à envoyer",IF(AND(O357&lt;&gt;"",O357&lt;=TODAY()),"Rappel à faire",""))))</f>
        <v/>
      </c>
    </row>
    <row r="358" customFormat="false" ht="15" hidden="false" customHeight="false" outlineLevel="0" collapsed="false">
      <c r="A358" s="7" t="n">
        <v>357</v>
      </c>
      <c r="B358" s="8"/>
      <c r="C358" s="8"/>
      <c r="D358" s="7"/>
      <c r="E358" s="7"/>
      <c r="F358" s="8"/>
      <c r="G358" s="7"/>
      <c r="H358" s="7"/>
      <c r="I358" s="8"/>
      <c r="J358" s="9"/>
      <c r="K358" s="9"/>
      <c r="L358" s="7"/>
      <c r="M358" s="7"/>
      <c r="N358" s="8"/>
      <c r="O358" s="9"/>
      <c r="P358" s="9"/>
      <c r="Q358" s="9"/>
      <c r="R358" s="9"/>
      <c r="S358" s="8"/>
      <c r="T358" s="9" t="str">
        <f aca="false">IF(J358="","",EDATE(MAX(J358,K358,P358,Q358,R358),36))</f>
        <v/>
      </c>
      <c r="U358" s="9" t="str">
        <f aca="false">IF(OR(L358&lt;&gt;"Email",K358="",P358&lt;&gt;"",M358="Opposition",M358="Pas intéressé",M358="Client",M358="Rendez-vous pris",M358="Numéro erroné"),"",WORKDAY(K358,5))</f>
        <v/>
      </c>
      <c r="V358" s="9" t="str">
        <f aca="false">IF(OR(P358="",Q358&lt;&gt;"",M358="Opposition",M358="Pas intéressé",M358="Client",M358="Rendez-vous pris",M358="Numéro erroné"),"",WORKDAY(P358,7))</f>
        <v/>
      </c>
      <c r="W358" s="7" t="str">
        <f aca="true">IF(M358="Opposition","Ne pas contacter",IF(AND(U358&lt;&gt;"",U358&lt;=TODAY()),"Relance 1 à envoyer",IF(AND(V358&lt;&gt;"",V358&lt;=TODAY()),"Relance 2 à envoyer",IF(AND(O358&lt;&gt;"",O358&lt;=TODAY()),"Rappel à faire",""))))</f>
        <v/>
      </c>
    </row>
    <row r="359" customFormat="false" ht="15" hidden="false" customHeight="false" outlineLevel="0" collapsed="false">
      <c r="A359" s="7" t="n">
        <v>358</v>
      </c>
      <c r="B359" s="8"/>
      <c r="C359" s="8"/>
      <c r="D359" s="7"/>
      <c r="E359" s="7"/>
      <c r="F359" s="8"/>
      <c r="G359" s="7"/>
      <c r="H359" s="7"/>
      <c r="I359" s="8"/>
      <c r="J359" s="9"/>
      <c r="K359" s="9"/>
      <c r="L359" s="7"/>
      <c r="M359" s="7"/>
      <c r="N359" s="8"/>
      <c r="O359" s="9"/>
      <c r="P359" s="9"/>
      <c r="Q359" s="9"/>
      <c r="R359" s="9"/>
      <c r="S359" s="8"/>
      <c r="T359" s="9" t="str">
        <f aca="false">IF(J359="","",EDATE(MAX(J359,K359,P359,Q359,R359),36))</f>
        <v/>
      </c>
      <c r="U359" s="9" t="str">
        <f aca="false">IF(OR(L359&lt;&gt;"Email",K359="",P359&lt;&gt;"",M359="Opposition",M359="Pas intéressé",M359="Client",M359="Rendez-vous pris",M359="Numéro erroné"),"",WORKDAY(K359,5))</f>
        <v/>
      </c>
      <c r="V359" s="9" t="str">
        <f aca="false">IF(OR(P359="",Q359&lt;&gt;"",M359="Opposition",M359="Pas intéressé",M359="Client",M359="Rendez-vous pris",M359="Numéro erroné"),"",WORKDAY(P359,7))</f>
        <v/>
      </c>
      <c r="W359" s="7" t="str">
        <f aca="true">IF(M359="Opposition","Ne pas contacter",IF(AND(U359&lt;&gt;"",U359&lt;=TODAY()),"Relance 1 à envoyer",IF(AND(V359&lt;&gt;"",V359&lt;=TODAY()),"Relance 2 à envoyer",IF(AND(O359&lt;&gt;"",O359&lt;=TODAY()),"Rappel à faire",""))))</f>
        <v/>
      </c>
    </row>
    <row r="360" customFormat="false" ht="15" hidden="false" customHeight="false" outlineLevel="0" collapsed="false">
      <c r="A360" s="7" t="n">
        <v>359</v>
      </c>
      <c r="B360" s="8"/>
      <c r="C360" s="8"/>
      <c r="D360" s="7"/>
      <c r="E360" s="7"/>
      <c r="F360" s="8"/>
      <c r="G360" s="7"/>
      <c r="H360" s="7"/>
      <c r="I360" s="8"/>
      <c r="J360" s="9"/>
      <c r="K360" s="9"/>
      <c r="L360" s="7"/>
      <c r="M360" s="7"/>
      <c r="N360" s="8"/>
      <c r="O360" s="9"/>
      <c r="P360" s="9"/>
      <c r="Q360" s="9"/>
      <c r="R360" s="9"/>
      <c r="S360" s="8"/>
      <c r="T360" s="9" t="str">
        <f aca="false">IF(J360="","",EDATE(MAX(J360,K360,P360,Q360,R360),36))</f>
        <v/>
      </c>
      <c r="U360" s="9" t="str">
        <f aca="false">IF(OR(L360&lt;&gt;"Email",K360="",P360&lt;&gt;"",M360="Opposition",M360="Pas intéressé",M360="Client",M360="Rendez-vous pris",M360="Numéro erroné"),"",WORKDAY(K360,5))</f>
        <v/>
      </c>
      <c r="V360" s="9" t="str">
        <f aca="false">IF(OR(P360="",Q360&lt;&gt;"",M360="Opposition",M360="Pas intéressé",M360="Client",M360="Rendez-vous pris",M360="Numéro erroné"),"",WORKDAY(P360,7))</f>
        <v/>
      </c>
      <c r="W360" s="7" t="str">
        <f aca="true">IF(M360="Opposition","Ne pas contacter",IF(AND(U360&lt;&gt;"",U360&lt;=TODAY()),"Relance 1 à envoyer",IF(AND(V360&lt;&gt;"",V360&lt;=TODAY()),"Relance 2 à envoyer",IF(AND(O360&lt;&gt;"",O360&lt;=TODAY()),"Rappel à faire",""))))</f>
        <v/>
      </c>
    </row>
    <row r="361" customFormat="false" ht="15" hidden="false" customHeight="false" outlineLevel="0" collapsed="false">
      <c r="A361" s="7" t="n">
        <v>360</v>
      </c>
      <c r="B361" s="8"/>
      <c r="C361" s="8"/>
      <c r="D361" s="7"/>
      <c r="E361" s="7"/>
      <c r="F361" s="8"/>
      <c r="G361" s="7"/>
      <c r="H361" s="7"/>
      <c r="I361" s="8"/>
      <c r="J361" s="9"/>
      <c r="K361" s="9"/>
      <c r="L361" s="7"/>
      <c r="M361" s="7"/>
      <c r="N361" s="8"/>
      <c r="O361" s="9"/>
      <c r="P361" s="9"/>
      <c r="Q361" s="9"/>
      <c r="R361" s="9"/>
      <c r="S361" s="8"/>
      <c r="T361" s="9" t="str">
        <f aca="false">IF(J361="","",EDATE(MAX(J361,K361,P361,Q361,R361),36))</f>
        <v/>
      </c>
      <c r="U361" s="9" t="str">
        <f aca="false">IF(OR(L361&lt;&gt;"Email",K361="",P361&lt;&gt;"",M361="Opposition",M361="Pas intéressé",M361="Client",M361="Rendez-vous pris",M361="Numéro erroné"),"",WORKDAY(K361,5))</f>
        <v/>
      </c>
      <c r="V361" s="9" t="str">
        <f aca="false">IF(OR(P361="",Q361&lt;&gt;"",M361="Opposition",M361="Pas intéressé",M361="Client",M361="Rendez-vous pris",M361="Numéro erroné"),"",WORKDAY(P361,7))</f>
        <v/>
      </c>
      <c r="W361" s="7" t="str">
        <f aca="true">IF(M361="Opposition","Ne pas contacter",IF(AND(U361&lt;&gt;"",U361&lt;=TODAY()),"Relance 1 à envoyer",IF(AND(V361&lt;&gt;"",V361&lt;=TODAY()),"Relance 2 à envoyer",IF(AND(O361&lt;&gt;"",O361&lt;=TODAY()),"Rappel à faire",""))))</f>
        <v/>
      </c>
    </row>
    <row r="362" customFormat="false" ht="15" hidden="false" customHeight="false" outlineLevel="0" collapsed="false">
      <c r="A362" s="7" t="n">
        <v>361</v>
      </c>
      <c r="B362" s="8"/>
      <c r="C362" s="8"/>
      <c r="D362" s="7"/>
      <c r="E362" s="7"/>
      <c r="F362" s="8"/>
      <c r="G362" s="7"/>
      <c r="H362" s="7"/>
      <c r="I362" s="8"/>
      <c r="J362" s="9"/>
      <c r="K362" s="9"/>
      <c r="L362" s="7"/>
      <c r="M362" s="7"/>
      <c r="N362" s="8"/>
      <c r="O362" s="9"/>
      <c r="P362" s="9"/>
      <c r="Q362" s="9"/>
      <c r="R362" s="9"/>
      <c r="S362" s="8"/>
      <c r="T362" s="9" t="str">
        <f aca="false">IF(J362="","",EDATE(MAX(J362,K362,P362,Q362,R362),36))</f>
        <v/>
      </c>
      <c r="U362" s="9" t="str">
        <f aca="false">IF(OR(L362&lt;&gt;"Email",K362="",P362&lt;&gt;"",M362="Opposition",M362="Pas intéressé",M362="Client",M362="Rendez-vous pris",M362="Numéro erroné"),"",WORKDAY(K362,5))</f>
        <v/>
      </c>
      <c r="V362" s="9" t="str">
        <f aca="false">IF(OR(P362="",Q362&lt;&gt;"",M362="Opposition",M362="Pas intéressé",M362="Client",M362="Rendez-vous pris",M362="Numéro erroné"),"",WORKDAY(P362,7))</f>
        <v/>
      </c>
      <c r="W362" s="7" t="str">
        <f aca="true">IF(M362="Opposition","Ne pas contacter",IF(AND(U362&lt;&gt;"",U362&lt;=TODAY()),"Relance 1 à envoyer",IF(AND(V362&lt;&gt;"",V362&lt;=TODAY()),"Relance 2 à envoyer",IF(AND(O362&lt;&gt;"",O362&lt;=TODAY()),"Rappel à faire",""))))</f>
        <v/>
      </c>
    </row>
    <row r="363" customFormat="false" ht="15" hidden="false" customHeight="false" outlineLevel="0" collapsed="false">
      <c r="A363" s="7" t="n">
        <v>362</v>
      </c>
      <c r="B363" s="8"/>
      <c r="C363" s="8"/>
      <c r="D363" s="7"/>
      <c r="E363" s="7"/>
      <c r="F363" s="8"/>
      <c r="G363" s="7"/>
      <c r="H363" s="7"/>
      <c r="I363" s="8"/>
      <c r="J363" s="9"/>
      <c r="K363" s="9"/>
      <c r="L363" s="7"/>
      <c r="M363" s="7"/>
      <c r="N363" s="8"/>
      <c r="O363" s="9"/>
      <c r="P363" s="9"/>
      <c r="Q363" s="9"/>
      <c r="R363" s="9"/>
      <c r="S363" s="8"/>
      <c r="T363" s="9" t="str">
        <f aca="false">IF(J363="","",EDATE(MAX(J363,K363,P363,Q363,R363),36))</f>
        <v/>
      </c>
      <c r="U363" s="9" t="str">
        <f aca="false">IF(OR(L363&lt;&gt;"Email",K363="",P363&lt;&gt;"",M363="Opposition",M363="Pas intéressé",M363="Client",M363="Rendez-vous pris",M363="Numéro erroné"),"",WORKDAY(K363,5))</f>
        <v/>
      </c>
      <c r="V363" s="9" t="str">
        <f aca="false">IF(OR(P363="",Q363&lt;&gt;"",M363="Opposition",M363="Pas intéressé",M363="Client",M363="Rendez-vous pris",M363="Numéro erroné"),"",WORKDAY(P363,7))</f>
        <v/>
      </c>
      <c r="W363" s="7" t="str">
        <f aca="true">IF(M363="Opposition","Ne pas contacter",IF(AND(U363&lt;&gt;"",U363&lt;=TODAY()),"Relance 1 à envoyer",IF(AND(V363&lt;&gt;"",V363&lt;=TODAY()),"Relance 2 à envoyer",IF(AND(O363&lt;&gt;"",O363&lt;=TODAY()),"Rappel à faire",""))))</f>
        <v/>
      </c>
    </row>
    <row r="364" customFormat="false" ht="15" hidden="false" customHeight="false" outlineLevel="0" collapsed="false">
      <c r="A364" s="7" t="n">
        <v>363</v>
      </c>
      <c r="B364" s="8"/>
      <c r="C364" s="8"/>
      <c r="D364" s="7"/>
      <c r="E364" s="7"/>
      <c r="F364" s="8"/>
      <c r="G364" s="7"/>
      <c r="H364" s="7"/>
      <c r="I364" s="8"/>
      <c r="J364" s="9"/>
      <c r="K364" s="9"/>
      <c r="L364" s="7"/>
      <c r="M364" s="7"/>
      <c r="N364" s="8"/>
      <c r="O364" s="9"/>
      <c r="P364" s="9"/>
      <c r="Q364" s="9"/>
      <c r="R364" s="9"/>
      <c r="S364" s="8"/>
      <c r="T364" s="9" t="str">
        <f aca="false">IF(J364="","",EDATE(MAX(J364,K364,P364,Q364,R364),36))</f>
        <v/>
      </c>
      <c r="U364" s="9" t="str">
        <f aca="false">IF(OR(L364&lt;&gt;"Email",K364="",P364&lt;&gt;"",M364="Opposition",M364="Pas intéressé",M364="Client",M364="Rendez-vous pris",M364="Numéro erroné"),"",WORKDAY(K364,5))</f>
        <v/>
      </c>
      <c r="V364" s="9" t="str">
        <f aca="false">IF(OR(P364="",Q364&lt;&gt;"",M364="Opposition",M364="Pas intéressé",M364="Client",M364="Rendez-vous pris",M364="Numéro erroné"),"",WORKDAY(P364,7))</f>
        <v/>
      </c>
      <c r="W364" s="7" t="str">
        <f aca="true">IF(M364="Opposition","Ne pas contacter",IF(AND(U364&lt;&gt;"",U364&lt;=TODAY()),"Relance 1 à envoyer",IF(AND(V364&lt;&gt;"",V364&lt;=TODAY()),"Relance 2 à envoyer",IF(AND(O364&lt;&gt;"",O364&lt;=TODAY()),"Rappel à faire",""))))</f>
        <v/>
      </c>
    </row>
    <row r="365" customFormat="false" ht="15" hidden="false" customHeight="false" outlineLevel="0" collapsed="false">
      <c r="A365" s="7" t="n">
        <v>364</v>
      </c>
      <c r="B365" s="8"/>
      <c r="C365" s="8"/>
      <c r="D365" s="7"/>
      <c r="E365" s="7"/>
      <c r="F365" s="8"/>
      <c r="G365" s="7"/>
      <c r="H365" s="7"/>
      <c r="I365" s="8"/>
      <c r="J365" s="9"/>
      <c r="K365" s="9"/>
      <c r="L365" s="7"/>
      <c r="M365" s="7"/>
      <c r="N365" s="8"/>
      <c r="O365" s="9"/>
      <c r="P365" s="9"/>
      <c r="Q365" s="9"/>
      <c r="R365" s="9"/>
      <c r="S365" s="8"/>
      <c r="T365" s="9" t="str">
        <f aca="false">IF(J365="","",EDATE(MAX(J365,K365,P365,Q365,R365),36))</f>
        <v/>
      </c>
      <c r="U365" s="9" t="str">
        <f aca="false">IF(OR(L365&lt;&gt;"Email",K365="",P365&lt;&gt;"",M365="Opposition",M365="Pas intéressé",M365="Client",M365="Rendez-vous pris",M365="Numéro erroné"),"",WORKDAY(K365,5))</f>
        <v/>
      </c>
      <c r="V365" s="9" t="str">
        <f aca="false">IF(OR(P365="",Q365&lt;&gt;"",M365="Opposition",M365="Pas intéressé",M365="Client",M365="Rendez-vous pris",M365="Numéro erroné"),"",WORKDAY(P365,7))</f>
        <v/>
      </c>
      <c r="W365" s="7" t="str">
        <f aca="true">IF(M365="Opposition","Ne pas contacter",IF(AND(U365&lt;&gt;"",U365&lt;=TODAY()),"Relance 1 à envoyer",IF(AND(V365&lt;&gt;"",V365&lt;=TODAY()),"Relance 2 à envoyer",IF(AND(O365&lt;&gt;"",O365&lt;=TODAY()),"Rappel à faire",""))))</f>
        <v/>
      </c>
    </row>
    <row r="366" customFormat="false" ht="15" hidden="false" customHeight="false" outlineLevel="0" collapsed="false">
      <c r="A366" s="7" t="n">
        <v>365</v>
      </c>
      <c r="B366" s="8"/>
      <c r="C366" s="8"/>
      <c r="D366" s="7"/>
      <c r="E366" s="7"/>
      <c r="F366" s="8"/>
      <c r="G366" s="7"/>
      <c r="H366" s="7"/>
      <c r="I366" s="8"/>
      <c r="J366" s="9"/>
      <c r="K366" s="9"/>
      <c r="L366" s="7"/>
      <c r="M366" s="7"/>
      <c r="N366" s="8"/>
      <c r="O366" s="9"/>
      <c r="P366" s="9"/>
      <c r="Q366" s="9"/>
      <c r="R366" s="9"/>
      <c r="S366" s="8"/>
      <c r="T366" s="9" t="str">
        <f aca="false">IF(J366="","",EDATE(MAX(J366,K366,P366,Q366,R366),36))</f>
        <v/>
      </c>
      <c r="U366" s="9" t="str">
        <f aca="false">IF(OR(L366&lt;&gt;"Email",K366="",P366&lt;&gt;"",M366="Opposition",M366="Pas intéressé",M366="Client",M366="Rendez-vous pris",M366="Numéro erroné"),"",WORKDAY(K366,5))</f>
        <v/>
      </c>
      <c r="V366" s="9" t="str">
        <f aca="false">IF(OR(P366="",Q366&lt;&gt;"",M366="Opposition",M366="Pas intéressé",M366="Client",M366="Rendez-vous pris",M366="Numéro erroné"),"",WORKDAY(P366,7))</f>
        <v/>
      </c>
      <c r="W366" s="7" t="str">
        <f aca="true">IF(M366="Opposition","Ne pas contacter",IF(AND(U366&lt;&gt;"",U366&lt;=TODAY()),"Relance 1 à envoyer",IF(AND(V366&lt;&gt;"",V366&lt;=TODAY()),"Relance 2 à envoyer",IF(AND(O366&lt;&gt;"",O366&lt;=TODAY()),"Rappel à faire",""))))</f>
        <v/>
      </c>
    </row>
    <row r="367" customFormat="false" ht="15" hidden="false" customHeight="false" outlineLevel="0" collapsed="false">
      <c r="A367" s="7" t="n">
        <v>366</v>
      </c>
      <c r="B367" s="8"/>
      <c r="C367" s="8"/>
      <c r="D367" s="7"/>
      <c r="E367" s="7"/>
      <c r="F367" s="8"/>
      <c r="G367" s="7"/>
      <c r="H367" s="7"/>
      <c r="I367" s="8"/>
      <c r="J367" s="9"/>
      <c r="K367" s="9"/>
      <c r="L367" s="7"/>
      <c r="M367" s="7"/>
      <c r="N367" s="8"/>
      <c r="O367" s="9"/>
      <c r="P367" s="9"/>
      <c r="Q367" s="9"/>
      <c r="R367" s="9"/>
      <c r="S367" s="8"/>
      <c r="T367" s="9" t="str">
        <f aca="false">IF(J367="","",EDATE(MAX(J367,K367,P367,Q367,R367),36))</f>
        <v/>
      </c>
      <c r="U367" s="9" t="str">
        <f aca="false">IF(OR(L367&lt;&gt;"Email",K367="",P367&lt;&gt;"",M367="Opposition",M367="Pas intéressé",M367="Client",M367="Rendez-vous pris",M367="Numéro erroné"),"",WORKDAY(K367,5))</f>
        <v/>
      </c>
      <c r="V367" s="9" t="str">
        <f aca="false">IF(OR(P367="",Q367&lt;&gt;"",M367="Opposition",M367="Pas intéressé",M367="Client",M367="Rendez-vous pris",M367="Numéro erroné"),"",WORKDAY(P367,7))</f>
        <v/>
      </c>
      <c r="W367" s="7" t="str">
        <f aca="true">IF(M367="Opposition","Ne pas contacter",IF(AND(U367&lt;&gt;"",U367&lt;=TODAY()),"Relance 1 à envoyer",IF(AND(V367&lt;&gt;"",V367&lt;=TODAY()),"Relance 2 à envoyer",IF(AND(O367&lt;&gt;"",O367&lt;=TODAY()),"Rappel à faire",""))))</f>
        <v/>
      </c>
    </row>
    <row r="368" customFormat="false" ht="15" hidden="false" customHeight="false" outlineLevel="0" collapsed="false">
      <c r="A368" s="7" t="n">
        <v>367</v>
      </c>
      <c r="B368" s="8"/>
      <c r="C368" s="8"/>
      <c r="D368" s="7"/>
      <c r="E368" s="7"/>
      <c r="F368" s="8"/>
      <c r="G368" s="7"/>
      <c r="H368" s="7"/>
      <c r="I368" s="8"/>
      <c r="J368" s="9"/>
      <c r="K368" s="9"/>
      <c r="L368" s="7"/>
      <c r="M368" s="7"/>
      <c r="N368" s="8"/>
      <c r="O368" s="9"/>
      <c r="P368" s="9"/>
      <c r="Q368" s="9"/>
      <c r="R368" s="9"/>
      <c r="S368" s="8"/>
      <c r="T368" s="9" t="str">
        <f aca="false">IF(J368="","",EDATE(MAX(J368,K368,P368,Q368,R368),36))</f>
        <v/>
      </c>
      <c r="U368" s="9" t="str">
        <f aca="false">IF(OR(L368&lt;&gt;"Email",K368="",P368&lt;&gt;"",M368="Opposition",M368="Pas intéressé",M368="Client",M368="Rendez-vous pris",M368="Numéro erroné"),"",WORKDAY(K368,5))</f>
        <v/>
      </c>
      <c r="V368" s="9" t="str">
        <f aca="false">IF(OR(P368="",Q368&lt;&gt;"",M368="Opposition",M368="Pas intéressé",M368="Client",M368="Rendez-vous pris",M368="Numéro erroné"),"",WORKDAY(P368,7))</f>
        <v/>
      </c>
      <c r="W368" s="7" t="str">
        <f aca="true">IF(M368="Opposition","Ne pas contacter",IF(AND(U368&lt;&gt;"",U368&lt;=TODAY()),"Relance 1 à envoyer",IF(AND(V368&lt;&gt;"",V368&lt;=TODAY()),"Relance 2 à envoyer",IF(AND(O368&lt;&gt;"",O368&lt;=TODAY()),"Rappel à faire",""))))</f>
        <v/>
      </c>
    </row>
    <row r="369" customFormat="false" ht="15" hidden="false" customHeight="false" outlineLevel="0" collapsed="false">
      <c r="A369" s="7" t="n">
        <v>368</v>
      </c>
      <c r="B369" s="8"/>
      <c r="C369" s="8"/>
      <c r="D369" s="7"/>
      <c r="E369" s="7"/>
      <c r="F369" s="8"/>
      <c r="G369" s="7"/>
      <c r="H369" s="7"/>
      <c r="I369" s="8"/>
      <c r="J369" s="9"/>
      <c r="K369" s="9"/>
      <c r="L369" s="7"/>
      <c r="M369" s="7"/>
      <c r="N369" s="8"/>
      <c r="O369" s="9"/>
      <c r="P369" s="9"/>
      <c r="Q369" s="9"/>
      <c r="R369" s="9"/>
      <c r="S369" s="8"/>
      <c r="T369" s="9" t="str">
        <f aca="false">IF(J369="","",EDATE(MAX(J369,K369,P369,Q369,R369),36))</f>
        <v/>
      </c>
      <c r="U369" s="9" t="str">
        <f aca="false">IF(OR(L369&lt;&gt;"Email",K369="",P369&lt;&gt;"",M369="Opposition",M369="Pas intéressé",M369="Client",M369="Rendez-vous pris",M369="Numéro erroné"),"",WORKDAY(K369,5))</f>
        <v/>
      </c>
      <c r="V369" s="9" t="str">
        <f aca="false">IF(OR(P369="",Q369&lt;&gt;"",M369="Opposition",M369="Pas intéressé",M369="Client",M369="Rendez-vous pris",M369="Numéro erroné"),"",WORKDAY(P369,7))</f>
        <v/>
      </c>
      <c r="W369" s="7" t="str">
        <f aca="true">IF(M369="Opposition","Ne pas contacter",IF(AND(U369&lt;&gt;"",U369&lt;=TODAY()),"Relance 1 à envoyer",IF(AND(V369&lt;&gt;"",V369&lt;=TODAY()),"Relance 2 à envoyer",IF(AND(O369&lt;&gt;"",O369&lt;=TODAY()),"Rappel à faire",""))))</f>
        <v/>
      </c>
    </row>
    <row r="370" customFormat="false" ht="15" hidden="false" customHeight="false" outlineLevel="0" collapsed="false">
      <c r="A370" s="7" t="n">
        <v>369</v>
      </c>
      <c r="B370" s="8"/>
      <c r="C370" s="8"/>
      <c r="D370" s="7"/>
      <c r="E370" s="7"/>
      <c r="F370" s="8"/>
      <c r="G370" s="7"/>
      <c r="H370" s="7"/>
      <c r="I370" s="8"/>
      <c r="J370" s="9"/>
      <c r="K370" s="9"/>
      <c r="L370" s="7"/>
      <c r="M370" s="7"/>
      <c r="N370" s="8"/>
      <c r="O370" s="9"/>
      <c r="P370" s="9"/>
      <c r="Q370" s="9"/>
      <c r="R370" s="9"/>
      <c r="S370" s="8"/>
      <c r="T370" s="9" t="str">
        <f aca="false">IF(J370="","",EDATE(MAX(J370,K370,P370,Q370,R370),36))</f>
        <v/>
      </c>
      <c r="U370" s="9" t="str">
        <f aca="false">IF(OR(L370&lt;&gt;"Email",K370="",P370&lt;&gt;"",M370="Opposition",M370="Pas intéressé",M370="Client",M370="Rendez-vous pris",M370="Numéro erroné"),"",WORKDAY(K370,5))</f>
        <v/>
      </c>
      <c r="V370" s="9" t="str">
        <f aca="false">IF(OR(P370="",Q370&lt;&gt;"",M370="Opposition",M370="Pas intéressé",M370="Client",M370="Rendez-vous pris",M370="Numéro erroné"),"",WORKDAY(P370,7))</f>
        <v/>
      </c>
      <c r="W370" s="7" t="str">
        <f aca="true">IF(M370="Opposition","Ne pas contacter",IF(AND(U370&lt;&gt;"",U370&lt;=TODAY()),"Relance 1 à envoyer",IF(AND(V370&lt;&gt;"",V370&lt;=TODAY()),"Relance 2 à envoyer",IF(AND(O370&lt;&gt;"",O370&lt;=TODAY()),"Rappel à faire",""))))</f>
        <v/>
      </c>
    </row>
    <row r="371" customFormat="false" ht="15" hidden="false" customHeight="false" outlineLevel="0" collapsed="false">
      <c r="A371" s="7" t="n">
        <v>370</v>
      </c>
      <c r="B371" s="8"/>
      <c r="C371" s="8"/>
      <c r="D371" s="7"/>
      <c r="E371" s="7"/>
      <c r="F371" s="8"/>
      <c r="G371" s="7"/>
      <c r="H371" s="7"/>
      <c r="I371" s="8"/>
      <c r="J371" s="9"/>
      <c r="K371" s="9"/>
      <c r="L371" s="7"/>
      <c r="M371" s="7"/>
      <c r="N371" s="8"/>
      <c r="O371" s="9"/>
      <c r="P371" s="9"/>
      <c r="Q371" s="9"/>
      <c r="R371" s="9"/>
      <c r="S371" s="8"/>
      <c r="T371" s="9" t="str">
        <f aca="false">IF(J371="","",EDATE(MAX(J371,K371,P371,Q371,R371),36))</f>
        <v/>
      </c>
      <c r="U371" s="9" t="str">
        <f aca="false">IF(OR(L371&lt;&gt;"Email",K371="",P371&lt;&gt;"",M371="Opposition",M371="Pas intéressé",M371="Client",M371="Rendez-vous pris",M371="Numéro erroné"),"",WORKDAY(K371,5))</f>
        <v/>
      </c>
      <c r="V371" s="9" t="str">
        <f aca="false">IF(OR(P371="",Q371&lt;&gt;"",M371="Opposition",M371="Pas intéressé",M371="Client",M371="Rendez-vous pris",M371="Numéro erroné"),"",WORKDAY(P371,7))</f>
        <v/>
      </c>
      <c r="W371" s="7" t="str">
        <f aca="true">IF(M371="Opposition","Ne pas contacter",IF(AND(U371&lt;&gt;"",U371&lt;=TODAY()),"Relance 1 à envoyer",IF(AND(V371&lt;&gt;"",V371&lt;=TODAY()),"Relance 2 à envoyer",IF(AND(O371&lt;&gt;"",O371&lt;=TODAY()),"Rappel à faire",""))))</f>
        <v/>
      </c>
    </row>
    <row r="372" customFormat="false" ht="15" hidden="false" customHeight="false" outlineLevel="0" collapsed="false">
      <c r="A372" s="7" t="n">
        <v>371</v>
      </c>
      <c r="B372" s="8"/>
      <c r="C372" s="8"/>
      <c r="D372" s="7"/>
      <c r="E372" s="7"/>
      <c r="F372" s="8"/>
      <c r="G372" s="7"/>
      <c r="H372" s="7"/>
      <c r="I372" s="8"/>
      <c r="J372" s="9"/>
      <c r="K372" s="9"/>
      <c r="L372" s="7"/>
      <c r="M372" s="7"/>
      <c r="N372" s="8"/>
      <c r="O372" s="9"/>
      <c r="P372" s="9"/>
      <c r="Q372" s="9"/>
      <c r="R372" s="9"/>
      <c r="S372" s="8"/>
      <c r="T372" s="9" t="str">
        <f aca="false">IF(J372="","",EDATE(MAX(J372,K372,P372,Q372,R372),36))</f>
        <v/>
      </c>
      <c r="U372" s="9" t="str">
        <f aca="false">IF(OR(L372&lt;&gt;"Email",K372="",P372&lt;&gt;"",M372="Opposition",M372="Pas intéressé",M372="Client",M372="Rendez-vous pris",M372="Numéro erroné"),"",WORKDAY(K372,5))</f>
        <v/>
      </c>
      <c r="V372" s="9" t="str">
        <f aca="false">IF(OR(P372="",Q372&lt;&gt;"",M372="Opposition",M372="Pas intéressé",M372="Client",M372="Rendez-vous pris",M372="Numéro erroné"),"",WORKDAY(P372,7))</f>
        <v/>
      </c>
      <c r="W372" s="7" t="str">
        <f aca="true">IF(M372="Opposition","Ne pas contacter",IF(AND(U372&lt;&gt;"",U372&lt;=TODAY()),"Relance 1 à envoyer",IF(AND(V372&lt;&gt;"",V372&lt;=TODAY()),"Relance 2 à envoyer",IF(AND(O372&lt;&gt;"",O372&lt;=TODAY()),"Rappel à faire",""))))</f>
        <v/>
      </c>
    </row>
    <row r="373" customFormat="false" ht="15" hidden="false" customHeight="false" outlineLevel="0" collapsed="false">
      <c r="A373" s="7" t="n">
        <v>372</v>
      </c>
      <c r="B373" s="8"/>
      <c r="C373" s="8"/>
      <c r="D373" s="7"/>
      <c r="E373" s="7"/>
      <c r="F373" s="8"/>
      <c r="G373" s="7"/>
      <c r="H373" s="7"/>
      <c r="I373" s="8"/>
      <c r="J373" s="9"/>
      <c r="K373" s="9"/>
      <c r="L373" s="7"/>
      <c r="M373" s="7"/>
      <c r="N373" s="8"/>
      <c r="O373" s="9"/>
      <c r="P373" s="9"/>
      <c r="Q373" s="9"/>
      <c r="R373" s="9"/>
      <c r="S373" s="8"/>
      <c r="T373" s="9" t="str">
        <f aca="false">IF(J373="","",EDATE(MAX(J373,K373,P373,Q373,R373),36))</f>
        <v/>
      </c>
      <c r="U373" s="9" t="str">
        <f aca="false">IF(OR(L373&lt;&gt;"Email",K373="",P373&lt;&gt;"",M373="Opposition",M373="Pas intéressé",M373="Client",M373="Rendez-vous pris",M373="Numéro erroné"),"",WORKDAY(K373,5))</f>
        <v/>
      </c>
      <c r="V373" s="9" t="str">
        <f aca="false">IF(OR(P373="",Q373&lt;&gt;"",M373="Opposition",M373="Pas intéressé",M373="Client",M373="Rendez-vous pris",M373="Numéro erroné"),"",WORKDAY(P373,7))</f>
        <v/>
      </c>
      <c r="W373" s="7" t="str">
        <f aca="true">IF(M373="Opposition","Ne pas contacter",IF(AND(U373&lt;&gt;"",U373&lt;=TODAY()),"Relance 1 à envoyer",IF(AND(V373&lt;&gt;"",V373&lt;=TODAY()),"Relance 2 à envoyer",IF(AND(O373&lt;&gt;"",O373&lt;=TODAY()),"Rappel à faire",""))))</f>
        <v/>
      </c>
    </row>
    <row r="374" customFormat="false" ht="15" hidden="false" customHeight="false" outlineLevel="0" collapsed="false">
      <c r="A374" s="7" t="n">
        <v>373</v>
      </c>
      <c r="B374" s="8"/>
      <c r="C374" s="8"/>
      <c r="D374" s="7"/>
      <c r="E374" s="7"/>
      <c r="F374" s="8"/>
      <c r="G374" s="7"/>
      <c r="H374" s="7"/>
      <c r="I374" s="8"/>
      <c r="J374" s="9"/>
      <c r="K374" s="9"/>
      <c r="L374" s="7"/>
      <c r="M374" s="7"/>
      <c r="N374" s="8"/>
      <c r="O374" s="9"/>
      <c r="P374" s="9"/>
      <c r="Q374" s="9"/>
      <c r="R374" s="9"/>
      <c r="S374" s="8"/>
      <c r="T374" s="9" t="str">
        <f aca="false">IF(J374="","",EDATE(MAX(J374,K374,P374,Q374,R374),36))</f>
        <v/>
      </c>
      <c r="U374" s="9" t="str">
        <f aca="false">IF(OR(L374&lt;&gt;"Email",K374="",P374&lt;&gt;"",M374="Opposition",M374="Pas intéressé",M374="Client",M374="Rendez-vous pris",M374="Numéro erroné"),"",WORKDAY(K374,5))</f>
        <v/>
      </c>
      <c r="V374" s="9" t="str">
        <f aca="false">IF(OR(P374="",Q374&lt;&gt;"",M374="Opposition",M374="Pas intéressé",M374="Client",M374="Rendez-vous pris",M374="Numéro erroné"),"",WORKDAY(P374,7))</f>
        <v/>
      </c>
      <c r="W374" s="7" t="str">
        <f aca="true">IF(M374="Opposition","Ne pas contacter",IF(AND(U374&lt;&gt;"",U374&lt;=TODAY()),"Relance 1 à envoyer",IF(AND(V374&lt;&gt;"",V374&lt;=TODAY()),"Relance 2 à envoyer",IF(AND(O374&lt;&gt;"",O374&lt;=TODAY()),"Rappel à faire",""))))</f>
        <v/>
      </c>
    </row>
    <row r="375" customFormat="false" ht="15" hidden="false" customHeight="false" outlineLevel="0" collapsed="false">
      <c r="A375" s="7" t="n">
        <v>374</v>
      </c>
      <c r="B375" s="8"/>
      <c r="C375" s="8"/>
      <c r="D375" s="7"/>
      <c r="E375" s="7"/>
      <c r="F375" s="8"/>
      <c r="G375" s="7"/>
      <c r="H375" s="7"/>
      <c r="I375" s="8"/>
      <c r="J375" s="9"/>
      <c r="K375" s="9"/>
      <c r="L375" s="7"/>
      <c r="M375" s="7"/>
      <c r="N375" s="8"/>
      <c r="O375" s="9"/>
      <c r="P375" s="9"/>
      <c r="Q375" s="9"/>
      <c r="R375" s="9"/>
      <c r="S375" s="8"/>
      <c r="T375" s="9" t="str">
        <f aca="false">IF(J375="","",EDATE(MAX(J375,K375,P375,Q375,R375),36))</f>
        <v/>
      </c>
      <c r="U375" s="9" t="str">
        <f aca="false">IF(OR(L375&lt;&gt;"Email",K375="",P375&lt;&gt;"",M375="Opposition",M375="Pas intéressé",M375="Client",M375="Rendez-vous pris",M375="Numéro erroné"),"",WORKDAY(K375,5))</f>
        <v/>
      </c>
      <c r="V375" s="9" t="str">
        <f aca="false">IF(OR(P375="",Q375&lt;&gt;"",M375="Opposition",M375="Pas intéressé",M375="Client",M375="Rendez-vous pris",M375="Numéro erroné"),"",WORKDAY(P375,7))</f>
        <v/>
      </c>
      <c r="W375" s="7" t="str">
        <f aca="true">IF(M375="Opposition","Ne pas contacter",IF(AND(U375&lt;&gt;"",U375&lt;=TODAY()),"Relance 1 à envoyer",IF(AND(V375&lt;&gt;"",V375&lt;=TODAY()),"Relance 2 à envoyer",IF(AND(O375&lt;&gt;"",O375&lt;=TODAY()),"Rappel à faire",""))))</f>
        <v/>
      </c>
    </row>
    <row r="376" customFormat="false" ht="15" hidden="false" customHeight="false" outlineLevel="0" collapsed="false">
      <c r="A376" s="7" t="n">
        <v>375</v>
      </c>
      <c r="B376" s="8"/>
      <c r="C376" s="8"/>
      <c r="D376" s="7"/>
      <c r="E376" s="7"/>
      <c r="F376" s="8"/>
      <c r="G376" s="7"/>
      <c r="H376" s="7"/>
      <c r="I376" s="8"/>
      <c r="J376" s="9"/>
      <c r="K376" s="9"/>
      <c r="L376" s="7"/>
      <c r="M376" s="7"/>
      <c r="N376" s="8"/>
      <c r="O376" s="9"/>
      <c r="P376" s="9"/>
      <c r="Q376" s="9"/>
      <c r="R376" s="9"/>
      <c r="S376" s="8"/>
      <c r="T376" s="9" t="str">
        <f aca="false">IF(J376="","",EDATE(MAX(J376,K376,P376,Q376,R376),36))</f>
        <v/>
      </c>
      <c r="U376" s="9" t="str">
        <f aca="false">IF(OR(L376&lt;&gt;"Email",K376="",P376&lt;&gt;"",M376="Opposition",M376="Pas intéressé",M376="Client",M376="Rendez-vous pris",M376="Numéro erroné"),"",WORKDAY(K376,5))</f>
        <v/>
      </c>
      <c r="V376" s="9" t="str">
        <f aca="false">IF(OR(P376="",Q376&lt;&gt;"",M376="Opposition",M376="Pas intéressé",M376="Client",M376="Rendez-vous pris",M376="Numéro erroné"),"",WORKDAY(P376,7))</f>
        <v/>
      </c>
      <c r="W376" s="7" t="str">
        <f aca="true">IF(M376="Opposition","Ne pas contacter",IF(AND(U376&lt;&gt;"",U376&lt;=TODAY()),"Relance 1 à envoyer",IF(AND(V376&lt;&gt;"",V376&lt;=TODAY()),"Relance 2 à envoyer",IF(AND(O376&lt;&gt;"",O376&lt;=TODAY()),"Rappel à faire",""))))</f>
        <v/>
      </c>
    </row>
    <row r="377" customFormat="false" ht="15" hidden="false" customHeight="false" outlineLevel="0" collapsed="false">
      <c r="A377" s="7" t="n">
        <v>376</v>
      </c>
      <c r="B377" s="8"/>
      <c r="C377" s="8"/>
      <c r="D377" s="7"/>
      <c r="E377" s="7"/>
      <c r="F377" s="8"/>
      <c r="G377" s="7"/>
      <c r="H377" s="7"/>
      <c r="I377" s="8"/>
      <c r="J377" s="9"/>
      <c r="K377" s="9"/>
      <c r="L377" s="7"/>
      <c r="M377" s="7"/>
      <c r="N377" s="8"/>
      <c r="O377" s="9"/>
      <c r="P377" s="9"/>
      <c r="Q377" s="9"/>
      <c r="R377" s="9"/>
      <c r="S377" s="8"/>
      <c r="T377" s="9" t="str">
        <f aca="false">IF(J377="","",EDATE(MAX(J377,K377,P377,Q377,R377),36))</f>
        <v/>
      </c>
      <c r="U377" s="9" t="str">
        <f aca="false">IF(OR(L377&lt;&gt;"Email",K377="",P377&lt;&gt;"",M377="Opposition",M377="Pas intéressé",M377="Client",M377="Rendez-vous pris",M377="Numéro erroné"),"",WORKDAY(K377,5))</f>
        <v/>
      </c>
      <c r="V377" s="9" t="str">
        <f aca="false">IF(OR(P377="",Q377&lt;&gt;"",M377="Opposition",M377="Pas intéressé",M377="Client",M377="Rendez-vous pris",M377="Numéro erroné"),"",WORKDAY(P377,7))</f>
        <v/>
      </c>
      <c r="W377" s="7" t="str">
        <f aca="true">IF(M377="Opposition","Ne pas contacter",IF(AND(U377&lt;&gt;"",U377&lt;=TODAY()),"Relance 1 à envoyer",IF(AND(V377&lt;&gt;"",V377&lt;=TODAY()),"Relance 2 à envoyer",IF(AND(O377&lt;&gt;"",O377&lt;=TODAY()),"Rappel à faire",""))))</f>
        <v/>
      </c>
    </row>
    <row r="378" customFormat="false" ht="15" hidden="false" customHeight="false" outlineLevel="0" collapsed="false">
      <c r="A378" s="7" t="n">
        <v>377</v>
      </c>
      <c r="B378" s="8"/>
      <c r="C378" s="8"/>
      <c r="D378" s="7"/>
      <c r="E378" s="7"/>
      <c r="F378" s="8"/>
      <c r="G378" s="7"/>
      <c r="H378" s="7"/>
      <c r="I378" s="8"/>
      <c r="J378" s="9"/>
      <c r="K378" s="9"/>
      <c r="L378" s="7"/>
      <c r="M378" s="7"/>
      <c r="N378" s="8"/>
      <c r="O378" s="9"/>
      <c r="P378" s="9"/>
      <c r="Q378" s="9"/>
      <c r="R378" s="9"/>
      <c r="S378" s="8"/>
      <c r="T378" s="9" t="str">
        <f aca="false">IF(J378="","",EDATE(MAX(J378,K378,P378,Q378,R378),36))</f>
        <v/>
      </c>
      <c r="U378" s="9" t="str">
        <f aca="false">IF(OR(L378&lt;&gt;"Email",K378="",P378&lt;&gt;"",M378="Opposition",M378="Pas intéressé",M378="Client",M378="Rendez-vous pris",M378="Numéro erroné"),"",WORKDAY(K378,5))</f>
        <v/>
      </c>
      <c r="V378" s="9" t="str">
        <f aca="false">IF(OR(P378="",Q378&lt;&gt;"",M378="Opposition",M378="Pas intéressé",M378="Client",M378="Rendez-vous pris",M378="Numéro erroné"),"",WORKDAY(P378,7))</f>
        <v/>
      </c>
      <c r="W378" s="7" t="str">
        <f aca="true">IF(M378="Opposition","Ne pas contacter",IF(AND(U378&lt;&gt;"",U378&lt;=TODAY()),"Relance 1 à envoyer",IF(AND(V378&lt;&gt;"",V378&lt;=TODAY()),"Relance 2 à envoyer",IF(AND(O378&lt;&gt;"",O378&lt;=TODAY()),"Rappel à faire",""))))</f>
        <v/>
      </c>
    </row>
    <row r="379" customFormat="false" ht="15" hidden="false" customHeight="false" outlineLevel="0" collapsed="false">
      <c r="A379" s="7" t="n">
        <v>378</v>
      </c>
      <c r="B379" s="8"/>
      <c r="C379" s="8"/>
      <c r="D379" s="7"/>
      <c r="E379" s="7"/>
      <c r="F379" s="8"/>
      <c r="G379" s="7"/>
      <c r="H379" s="7"/>
      <c r="I379" s="8"/>
      <c r="J379" s="9"/>
      <c r="K379" s="9"/>
      <c r="L379" s="7"/>
      <c r="M379" s="7"/>
      <c r="N379" s="8"/>
      <c r="O379" s="9"/>
      <c r="P379" s="9"/>
      <c r="Q379" s="9"/>
      <c r="R379" s="9"/>
      <c r="S379" s="8"/>
      <c r="T379" s="9" t="str">
        <f aca="false">IF(J379="","",EDATE(MAX(J379,K379,P379,Q379,R379),36))</f>
        <v/>
      </c>
      <c r="U379" s="9" t="str">
        <f aca="false">IF(OR(L379&lt;&gt;"Email",K379="",P379&lt;&gt;"",M379="Opposition",M379="Pas intéressé",M379="Client",M379="Rendez-vous pris",M379="Numéro erroné"),"",WORKDAY(K379,5))</f>
        <v/>
      </c>
      <c r="V379" s="9" t="str">
        <f aca="false">IF(OR(P379="",Q379&lt;&gt;"",M379="Opposition",M379="Pas intéressé",M379="Client",M379="Rendez-vous pris",M379="Numéro erroné"),"",WORKDAY(P379,7))</f>
        <v/>
      </c>
      <c r="W379" s="7" t="str">
        <f aca="true">IF(M379="Opposition","Ne pas contacter",IF(AND(U379&lt;&gt;"",U379&lt;=TODAY()),"Relance 1 à envoyer",IF(AND(V379&lt;&gt;"",V379&lt;=TODAY()),"Relance 2 à envoyer",IF(AND(O379&lt;&gt;"",O379&lt;=TODAY()),"Rappel à faire",""))))</f>
        <v/>
      </c>
    </row>
    <row r="380" customFormat="false" ht="15" hidden="false" customHeight="false" outlineLevel="0" collapsed="false">
      <c r="A380" s="7" t="n">
        <v>379</v>
      </c>
      <c r="B380" s="8"/>
      <c r="C380" s="8"/>
      <c r="D380" s="7"/>
      <c r="E380" s="7"/>
      <c r="F380" s="8"/>
      <c r="G380" s="7"/>
      <c r="H380" s="7"/>
      <c r="I380" s="8"/>
      <c r="J380" s="9"/>
      <c r="K380" s="9"/>
      <c r="L380" s="7"/>
      <c r="M380" s="7"/>
      <c r="N380" s="8"/>
      <c r="O380" s="9"/>
      <c r="P380" s="9"/>
      <c r="Q380" s="9"/>
      <c r="R380" s="9"/>
      <c r="S380" s="8"/>
      <c r="T380" s="9" t="str">
        <f aca="false">IF(J380="","",EDATE(MAX(J380,K380,P380,Q380,R380),36))</f>
        <v/>
      </c>
      <c r="U380" s="9" t="str">
        <f aca="false">IF(OR(L380&lt;&gt;"Email",K380="",P380&lt;&gt;"",M380="Opposition",M380="Pas intéressé",M380="Client",M380="Rendez-vous pris",M380="Numéro erroné"),"",WORKDAY(K380,5))</f>
        <v/>
      </c>
      <c r="V380" s="9" t="str">
        <f aca="false">IF(OR(P380="",Q380&lt;&gt;"",M380="Opposition",M380="Pas intéressé",M380="Client",M380="Rendez-vous pris",M380="Numéro erroné"),"",WORKDAY(P380,7))</f>
        <v/>
      </c>
      <c r="W380" s="7" t="str">
        <f aca="true">IF(M380="Opposition","Ne pas contacter",IF(AND(U380&lt;&gt;"",U380&lt;=TODAY()),"Relance 1 à envoyer",IF(AND(V380&lt;&gt;"",V380&lt;=TODAY()),"Relance 2 à envoyer",IF(AND(O380&lt;&gt;"",O380&lt;=TODAY()),"Rappel à faire",""))))</f>
        <v/>
      </c>
    </row>
    <row r="381" customFormat="false" ht="15" hidden="false" customHeight="false" outlineLevel="0" collapsed="false">
      <c r="A381" s="7" t="n">
        <v>380</v>
      </c>
      <c r="B381" s="8"/>
      <c r="C381" s="8"/>
      <c r="D381" s="7"/>
      <c r="E381" s="7"/>
      <c r="F381" s="8"/>
      <c r="G381" s="7"/>
      <c r="H381" s="7"/>
      <c r="I381" s="8"/>
      <c r="J381" s="9"/>
      <c r="K381" s="9"/>
      <c r="L381" s="7"/>
      <c r="M381" s="7"/>
      <c r="N381" s="8"/>
      <c r="O381" s="9"/>
      <c r="P381" s="9"/>
      <c r="Q381" s="9"/>
      <c r="R381" s="9"/>
      <c r="S381" s="8"/>
      <c r="T381" s="9" t="str">
        <f aca="false">IF(J381="","",EDATE(MAX(J381,K381,P381,Q381,R381),36))</f>
        <v/>
      </c>
      <c r="U381" s="9" t="str">
        <f aca="false">IF(OR(L381&lt;&gt;"Email",K381="",P381&lt;&gt;"",M381="Opposition",M381="Pas intéressé",M381="Client",M381="Rendez-vous pris",M381="Numéro erroné"),"",WORKDAY(K381,5))</f>
        <v/>
      </c>
      <c r="V381" s="9" t="str">
        <f aca="false">IF(OR(P381="",Q381&lt;&gt;"",M381="Opposition",M381="Pas intéressé",M381="Client",M381="Rendez-vous pris",M381="Numéro erroné"),"",WORKDAY(P381,7))</f>
        <v/>
      </c>
      <c r="W381" s="7" t="str">
        <f aca="true">IF(M381="Opposition","Ne pas contacter",IF(AND(U381&lt;&gt;"",U381&lt;=TODAY()),"Relance 1 à envoyer",IF(AND(V381&lt;&gt;"",V381&lt;=TODAY()),"Relance 2 à envoyer",IF(AND(O381&lt;&gt;"",O381&lt;=TODAY()),"Rappel à faire",""))))</f>
        <v/>
      </c>
    </row>
    <row r="382" customFormat="false" ht="15" hidden="false" customHeight="false" outlineLevel="0" collapsed="false">
      <c r="A382" s="7" t="n">
        <v>381</v>
      </c>
      <c r="B382" s="8"/>
      <c r="C382" s="8"/>
      <c r="D382" s="7"/>
      <c r="E382" s="7"/>
      <c r="F382" s="8"/>
      <c r="G382" s="7"/>
      <c r="H382" s="7"/>
      <c r="I382" s="8"/>
      <c r="J382" s="9"/>
      <c r="K382" s="9"/>
      <c r="L382" s="7"/>
      <c r="M382" s="7"/>
      <c r="N382" s="8"/>
      <c r="O382" s="9"/>
      <c r="P382" s="9"/>
      <c r="Q382" s="9"/>
      <c r="R382" s="9"/>
      <c r="S382" s="8"/>
      <c r="T382" s="9" t="str">
        <f aca="false">IF(J382="","",EDATE(MAX(J382,K382,P382,Q382,R382),36))</f>
        <v/>
      </c>
      <c r="U382" s="9" t="str">
        <f aca="false">IF(OR(L382&lt;&gt;"Email",K382="",P382&lt;&gt;"",M382="Opposition",M382="Pas intéressé",M382="Client",M382="Rendez-vous pris",M382="Numéro erroné"),"",WORKDAY(K382,5))</f>
        <v/>
      </c>
      <c r="V382" s="9" t="str">
        <f aca="false">IF(OR(P382="",Q382&lt;&gt;"",M382="Opposition",M382="Pas intéressé",M382="Client",M382="Rendez-vous pris",M382="Numéro erroné"),"",WORKDAY(P382,7))</f>
        <v/>
      </c>
      <c r="W382" s="7" t="str">
        <f aca="true">IF(M382="Opposition","Ne pas contacter",IF(AND(U382&lt;&gt;"",U382&lt;=TODAY()),"Relance 1 à envoyer",IF(AND(V382&lt;&gt;"",V382&lt;=TODAY()),"Relance 2 à envoyer",IF(AND(O382&lt;&gt;"",O382&lt;=TODAY()),"Rappel à faire",""))))</f>
        <v/>
      </c>
    </row>
    <row r="383" customFormat="false" ht="15" hidden="false" customHeight="false" outlineLevel="0" collapsed="false">
      <c r="A383" s="7" t="n">
        <v>382</v>
      </c>
      <c r="B383" s="8"/>
      <c r="C383" s="8"/>
      <c r="D383" s="7"/>
      <c r="E383" s="7"/>
      <c r="F383" s="8"/>
      <c r="G383" s="7"/>
      <c r="H383" s="7"/>
      <c r="I383" s="8"/>
      <c r="J383" s="9"/>
      <c r="K383" s="9"/>
      <c r="L383" s="7"/>
      <c r="M383" s="7"/>
      <c r="N383" s="8"/>
      <c r="O383" s="9"/>
      <c r="P383" s="9"/>
      <c r="Q383" s="9"/>
      <c r="R383" s="9"/>
      <c r="S383" s="8"/>
      <c r="T383" s="9" t="str">
        <f aca="false">IF(J383="","",EDATE(MAX(J383,K383,P383,Q383,R383),36))</f>
        <v/>
      </c>
      <c r="U383" s="9" t="str">
        <f aca="false">IF(OR(L383&lt;&gt;"Email",K383="",P383&lt;&gt;"",M383="Opposition",M383="Pas intéressé",M383="Client",M383="Rendez-vous pris",M383="Numéro erroné"),"",WORKDAY(K383,5))</f>
        <v/>
      </c>
      <c r="V383" s="9" t="str">
        <f aca="false">IF(OR(P383="",Q383&lt;&gt;"",M383="Opposition",M383="Pas intéressé",M383="Client",M383="Rendez-vous pris",M383="Numéro erroné"),"",WORKDAY(P383,7))</f>
        <v/>
      </c>
      <c r="W383" s="7" t="str">
        <f aca="true">IF(M383="Opposition","Ne pas contacter",IF(AND(U383&lt;&gt;"",U383&lt;=TODAY()),"Relance 1 à envoyer",IF(AND(V383&lt;&gt;"",V383&lt;=TODAY()),"Relance 2 à envoyer",IF(AND(O383&lt;&gt;"",O383&lt;=TODAY()),"Rappel à faire",""))))</f>
        <v/>
      </c>
    </row>
    <row r="384" customFormat="false" ht="15" hidden="false" customHeight="false" outlineLevel="0" collapsed="false">
      <c r="A384" s="7" t="n">
        <v>383</v>
      </c>
      <c r="B384" s="8"/>
      <c r="C384" s="8"/>
      <c r="D384" s="7"/>
      <c r="E384" s="7"/>
      <c r="F384" s="8"/>
      <c r="G384" s="7"/>
      <c r="H384" s="7"/>
      <c r="I384" s="8"/>
      <c r="J384" s="9"/>
      <c r="K384" s="9"/>
      <c r="L384" s="7"/>
      <c r="M384" s="7"/>
      <c r="N384" s="8"/>
      <c r="O384" s="9"/>
      <c r="P384" s="9"/>
      <c r="Q384" s="9"/>
      <c r="R384" s="9"/>
      <c r="S384" s="8"/>
      <c r="T384" s="9" t="str">
        <f aca="false">IF(J384="","",EDATE(MAX(J384,K384,P384,Q384,R384),36))</f>
        <v/>
      </c>
      <c r="U384" s="9" t="str">
        <f aca="false">IF(OR(L384&lt;&gt;"Email",K384="",P384&lt;&gt;"",M384="Opposition",M384="Pas intéressé",M384="Client",M384="Rendez-vous pris",M384="Numéro erroné"),"",WORKDAY(K384,5))</f>
        <v/>
      </c>
      <c r="V384" s="9" t="str">
        <f aca="false">IF(OR(P384="",Q384&lt;&gt;"",M384="Opposition",M384="Pas intéressé",M384="Client",M384="Rendez-vous pris",M384="Numéro erroné"),"",WORKDAY(P384,7))</f>
        <v/>
      </c>
      <c r="W384" s="7" t="str">
        <f aca="true">IF(M384="Opposition","Ne pas contacter",IF(AND(U384&lt;&gt;"",U384&lt;=TODAY()),"Relance 1 à envoyer",IF(AND(V384&lt;&gt;"",V384&lt;=TODAY()),"Relance 2 à envoyer",IF(AND(O384&lt;&gt;"",O384&lt;=TODAY()),"Rappel à faire",""))))</f>
        <v/>
      </c>
    </row>
    <row r="385" customFormat="false" ht="15" hidden="false" customHeight="false" outlineLevel="0" collapsed="false">
      <c r="A385" s="7" t="n">
        <v>384</v>
      </c>
      <c r="B385" s="8"/>
      <c r="C385" s="8"/>
      <c r="D385" s="7"/>
      <c r="E385" s="7"/>
      <c r="F385" s="8"/>
      <c r="G385" s="7"/>
      <c r="H385" s="7"/>
      <c r="I385" s="8"/>
      <c r="J385" s="9"/>
      <c r="K385" s="9"/>
      <c r="L385" s="7"/>
      <c r="M385" s="7"/>
      <c r="N385" s="8"/>
      <c r="O385" s="9"/>
      <c r="P385" s="9"/>
      <c r="Q385" s="9"/>
      <c r="R385" s="9"/>
      <c r="S385" s="8"/>
      <c r="T385" s="9" t="str">
        <f aca="false">IF(J385="","",EDATE(MAX(J385,K385,P385,Q385,R385),36))</f>
        <v/>
      </c>
      <c r="U385" s="9" t="str">
        <f aca="false">IF(OR(L385&lt;&gt;"Email",K385="",P385&lt;&gt;"",M385="Opposition",M385="Pas intéressé",M385="Client",M385="Rendez-vous pris",M385="Numéro erroné"),"",WORKDAY(K385,5))</f>
        <v/>
      </c>
      <c r="V385" s="9" t="str">
        <f aca="false">IF(OR(P385="",Q385&lt;&gt;"",M385="Opposition",M385="Pas intéressé",M385="Client",M385="Rendez-vous pris",M385="Numéro erroné"),"",WORKDAY(P385,7))</f>
        <v/>
      </c>
      <c r="W385" s="7" t="str">
        <f aca="true">IF(M385="Opposition","Ne pas contacter",IF(AND(U385&lt;&gt;"",U385&lt;=TODAY()),"Relance 1 à envoyer",IF(AND(V385&lt;&gt;"",V385&lt;=TODAY()),"Relance 2 à envoyer",IF(AND(O385&lt;&gt;"",O385&lt;=TODAY()),"Rappel à faire",""))))</f>
        <v/>
      </c>
    </row>
    <row r="386" customFormat="false" ht="15" hidden="false" customHeight="false" outlineLevel="0" collapsed="false">
      <c r="A386" s="7" t="n">
        <v>385</v>
      </c>
      <c r="B386" s="8"/>
      <c r="C386" s="8"/>
      <c r="D386" s="7"/>
      <c r="E386" s="7"/>
      <c r="F386" s="8"/>
      <c r="G386" s="7"/>
      <c r="H386" s="7"/>
      <c r="I386" s="8"/>
      <c r="J386" s="9"/>
      <c r="K386" s="9"/>
      <c r="L386" s="7"/>
      <c r="M386" s="7"/>
      <c r="N386" s="8"/>
      <c r="O386" s="9"/>
      <c r="P386" s="9"/>
      <c r="Q386" s="9"/>
      <c r="R386" s="9"/>
      <c r="S386" s="8"/>
      <c r="T386" s="9" t="str">
        <f aca="false">IF(J386="","",EDATE(MAX(J386,K386,P386,Q386,R386),36))</f>
        <v/>
      </c>
      <c r="U386" s="9" t="str">
        <f aca="false">IF(OR(L386&lt;&gt;"Email",K386="",P386&lt;&gt;"",M386="Opposition",M386="Pas intéressé",M386="Client",M386="Rendez-vous pris",M386="Numéro erroné"),"",WORKDAY(K386,5))</f>
        <v/>
      </c>
      <c r="V386" s="9" t="str">
        <f aca="false">IF(OR(P386="",Q386&lt;&gt;"",M386="Opposition",M386="Pas intéressé",M386="Client",M386="Rendez-vous pris",M386="Numéro erroné"),"",WORKDAY(P386,7))</f>
        <v/>
      </c>
      <c r="W386" s="7" t="str">
        <f aca="true">IF(M386="Opposition","Ne pas contacter",IF(AND(U386&lt;&gt;"",U386&lt;=TODAY()),"Relance 1 à envoyer",IF(AND(V386&lt;&gt;"",V386&lt;=TODAY()),"Relance 2 à envoyer",IF(AND(O386&lt;&gt;"",O386&lt;=TODAY()),"Rappel à faire",""))))</f>
        <v/>
      </c>
    </row>
    <row r="387" customFormat="false" ht="15" hidden="false" customHeight="false" outlineLevel="0" collapsed="false">
      <c r="A387" s="7" t="n">
        <v>386</v>
      </c>
      <c r="B387" s="8"/>
      <c r="C387" s="8"/>
      <c r="D387" s="7"/>
      <c r="E387" s="7"/>
      <c r="F387" s="8"/>
      <c r="G387" s="7"/>
      <c r="H387" s="7"/>
      <c r="I387" s="8"/>
      <c r="J387" s="9"/>
      <c r="K387" s="9"/>
      <c r="L387" s="7"/>
      <c r="M387" s="7"/>
      <c r="N387" s="8"/>
      <c r="O387" s="9"/>
      <c r="P387" s="9"/>
      <c r="Q387" s="9"/>
      <c r="R387" s="9"/>
      <c r="S387" s="8"/>
      <c r="T387" s="9" t="str">
        <f aca="false">IF(J387="","",EDATE(MAX(J387,K387,P387,Q387,R387),36))</f>
        <v/>
      </c>
      <c r="U387" s="9" t="str">
        <f aca="false">IF(OR(L387&lt;&gt;"Email",K387="",P387&lt;&gt;"",M387="Opposition",M387="Pas intéressé",M387="Client",M387="Rendez-vous pris",M387="Numéro erroné"),"",WORKDAY(K387,5))</f>
        <v/>
      </c>
      <c r="V387" s="9" t="str">
        <f aca="false">IF(OR(P387="",Q387&lt;&gt;"",M387="Opposition",M387="Pas intéressé",M387="Client",M387="Rendez-vous pris",M387="Numéro erroné"),"",WORKDAY(P387,7))</f>
        <v/>
      </c>
      <c r="W387" s="7" t="str">
        <f aca="true">IF(M387="Opposition","Ne pas contacter",IF(AND(U387&lt;&gt;"",U387&lt;=TODAY()),"Relance 1 à envoyer",IF(AND(V387&lt;&gt;"",V387&lt;=TODAY()),"Relance 2 à envoyer",IF(AND(O387&lt;&gt;"",O387&lt;=TODAY()),"Rappel à faire",""))))</f>
        <v/>
      </c>
    </row>
    <row r="388" customFormat="false" ht="15" hidden="false" customHeight="false" outlineLevel="0" collapsed="false">
      <c r="A388" s="7" t="n">
        <v>387</v>
      </c>
      <c r="B388" s="8"/>
      <c r="C388" s="8"/>
      <c r="D388" s="7"/>
      <c r="E388" s="7"/>
      <c r="F388" s="8"/>
      <c r="G388" s="7"/>
      <c r="H388" s="7"/>
      <c r="I388" s="8"/>
      <c r="J388" s="9"/>
      <c r="K388" s="9"/>
      <c r="L388" s="7"/>
      <c r="M388" s="7"/>
      <c r="N388" s="8"/>
      <c r="O388" s="9"/>
      <c r="P388" s="9"/>
      <c r="Q388" s="9"/>
      <c r="R388" s="9"/>
      <c r="S388" s="8"/>
      <c r="T388" s="9" t="str">
        <f aca="false">IF(J388="","",EDATE(MAX(J388,K388,P388,Q388,R388),36))</f>
        <v/>
      </c>
      <c r="U388" s="9" t="str">
        <f aca="false">IF(OR(L388&lt;&gt;"Email",K388="",P388&lt;&gt;"",M388="Opposition",M388="Pas intéressé",M388="Client",M388="Rendez-vous pris",M388="Numéro erroné"),"",WORKDAY(K388,5))</f>
        <v/>
      </c>
      <c r="V388" s="9" t="str">
        <f aca="false">IF(OR(P388="",Q388&lt;&gt;"",M388="Opposition",M388="Pas intéressé",M388="Client",M388="Rendez-vous pris",M388="Numéro erroné"),"",WORKDAY(P388,7))</f>
        <v/>
      </c>
      <c r="W388" s="7" t="str">
        <f aca="true">IF(M388="Opposition","Ne pas contacter",IF(AND(U388&lt;&gt;"",U388&lt;=TODAY()),"Relance 1 à envoyer",IF(AND(V388&lt;&gt;"",V388&lt;=TODAY()),"Relance 2 à envoyer",IF(AND(O388&lt;&gt;"",O388&lt;=TODAY()),"Rappel à faire",""))))</f>
        <v/>
      </c>
    </row>
    <row r="389" customFormat="false" ht="15" hidden="false" customHeight="false" outlineLevel="0" collapsed="false">
      <c r="A389" s="7" t="n">
        <v>388</v>
      </c>
      <c r="B389" s="8"/>
      <c r="C389" s="8"/>
      <c r="D389" s="7"/>
      <c r="E389" s="7"/>
      <c r="F389" s="8"/>
      <c r="G389" s="7"/>
      <c r="H389" s="7"/>
      <c r="I389" s="8"/>
      <c r="J389" s="9"/>
      <c r="K389" s="9"/>
      <c r="L389" s="7"/>
      <c r="M389" s="7"/>
      <c r="N389" s="8"/>
      <c r="O389" s="9"/>
      <c r="P389" s="9"/>
      <c r="Q389" s="9"/>
      <c r="R389" s="9"/>
      <c r="S389" s="8"/>
      <c r="T389" s="9" t="str">
        <f aca="false">IF(J389="","",EDATE(MAX(J389,K389,P389,Q389,R389),36))</f>
        <v/>
      </c>
      <c r="U389" s="9" t="str">
        <f aca="false">IF(OR(L389&lt;&gt;"Email",K389="",P389&lt;&gt;"",M389="Opposition",M389="Pas intéressé",M389="Client",M389="Rendez-vous pris",M389="Numéro erroné"),"",WORKDAY(K389,5))</f>
        <v/>
      </c>
      <c r="V389" s="9" t="str">
        <f aca="false">IF(OR(P389="",Q389&lt;&gt;"",M389="Opposition",M389="Pas intéressé",M389="Client",M389="Rendez-vous pris",M389="Numéro erroné"),"",WORKDAY(P389,7))</f>
        <v/>
      </c>
      <c r="W389" s="7" t="str">
        <f aca="true">IF(M389="Opposition","Ne pas contacter",IF(AND(U389&lt;&gt;"",U389&lt;=TODAY()),"Relance 1 à envoyer",IF(AND(V389&lt;&gt;"",V389&lt;=TODAY()),"Relance 2 à envoyer",IF(AND(O389&lt;&gt;"",O389&lt;=TODAY()),"Rappel à faire",""))))</f>
        <v/>
      </c>
    </row>
    <row r="390" customFormat="false" ht="15" hidden="false" customHeight="false" outlineLevel="0" collapsed="false">
      <c r="A390" s="7" t="n">
        <v>389</v>
      </c>
      <c r="B390" s="8"/>
      <c r="C390" s="8"/>
      <c r="D390" s="7"/>
      <c r="E390" s="7"/>
      <c r="F390" s="8"/>
      <c r="G390" s="7"/>
      <c r="H390" s="7"/>
      <c r="I390" s="8"/>
      <c r="J390" s="9"/>
      <c r="K390" s="9"/>
      <c r="L390" s="7"/>
      <c r="M390" s="7"/>
      <c r="N390" s="8"/>
      <c r="O390" s="9"/>
      <c r="P390" s="9"/>
      <c r="Q390" s="9"/>
      <c r="R390" s="9"/>
      <c r="S390" s="8"/>
      <c r="T390" s="9" t="str">
        <f aca="false">IF(J390="","",EDATE(MAX(J390,K390,P390,Q390,R390),36))</f>
        <v/>
      </c>
      <c r="U390" s="9" t="str">
        <f aca="false">IF(OR(L390&lt;&gt;"Email",K390="",P390&lt;&gt;"",M390="Opposition",M390="Pas intéressé",M390="Client",M390="Rendez-vous pris",M390="Numéro erroné"),"",WORKDAY(K390,5))</f>
        <v/>
      </c>
      <c r="V390" s="9" t="str">
        <f aca="false">IF(OR(P390="",Q390&lt;&gt;"",M390="Opposition",M390="Pas intéressé",M390="Client",M390="Rendez-vous pris",M390="Numéro erroné"),"",WORKDAY(P390,7))</f>
        <v/>
      </c>
      <c r="W390" s="7" t="str">
        <f aca="true">IF(M390="Opposition","Ne pas contacter",IF(AND(U390&lt;&gt;"",U390&lt;=TODAY()),"Relance 1 à envoyer",IF(AND(V390&lt;&gt;"",V390&lt;=TODAY()),"Relance 2 à envoyer",IF(AND(O390&lt;&gt;"",O390&lt;=TODAY()),"Rappel à faire",""))))</f>
        <v/>
      </c>
    </row>
    <row r="391" customFormat="false" ht="15" hidden="false" customHeight="false" outlineLevel="0" collapsed="false">
      <c r="A391" s="7" t="n">
        <v>390</v>
      </c>
      <c r="B391" s="8"/>
      <c r="C391" s="8"/>
      <c r="D391" s="7"/>
      <c r="E391" s="7"/>
      <c r="F391" s="8"/>
      <c r="G391" s="7"/>
      <c r="H391" s="7"/>
      <c r="I391" s="8"/>
      <c r="J391" s="9"/>
      <c r="K391" s="9"/>
      <c r="L391" s="7"/>
      <c r="M391" s="7"/>
      <c r="N391" s="8"/>
      <c r="O391" s="9"/>
      <c r="P391" s="9"/>
      <c r="Q391" s="9"/>
      <c r="R391" s="9"/>
      <c r="S391" s="8"/>
      <c r="T391" s="9" t="str">
        <f aca="false">IF(J391="","",EDATE(MAX(J391,K391,P391,Q391,R391),36))</f>
        <v/>
      </c>
      <c r="U391" s="9" t="str">
        <f aca="false">IF(OR(L391&lt;&gt;"Email",K391="",P391&lt;&gt;"",M391="Opposition",M391="Pas intéressé",M391="Client",M391="Rendez-vous pris",M391="Numéro erroné"),"",WORKDAY(K391,5))</f>
        <v/>
      </c>
      <c r="V391" s="9" t="str">
        <f aca="false">IF(OR(P391="",Q391&lt;&gt;"",M391="Opposition",M391="Pas intéressé",M391="Client",M391="Rendez-vous pris",M391="Numéro erroné"),"",WORKDAY(P391,7))</f>
        <v/>
      </c>
      <c r="W391" s="7" t="str">
        <f aca="true">IF(M391="Opposition","Ne pas contacter",IF(AND(U391&lt;&gt;"",U391&lt;=TODAY()),"Relance 1 à envoyer",IF(AND(V391&lt;&gt;"",V391&lt;=TODAY()),"Relance 2 à envoyer",IF(AND(O391&lt;&gt;"",O391&lt;=TODAY()),"Rappel à faire",""))))</f>
        <v/>
      </c>
    </row>
    <row r="392" customFormat="false" ht="15" hidden="false" customHeight="false" outlineLevel="0" collapsed="false">
      <c r="A392" s="7" t="n">
        <v>391</v>
      </c>
      <c r="B392" s="8"/>
      <c r="C392" s="8"/>
      <c r="D392" s="7"/>
      <c r="E392" s="7"/>
      <c r="F392" s="8"/>
      <c r="G392" s="7"/>
      <c r="H392" s="7"/>
      <c r="I392" s="8"/>
      <c r="J392" s="9"/>
      <c r="K392" s="9"/>
      <c r="L392" s="7"/>
      <c r="M392" s="7"/>
      <c r="N392" s="8"/>
      <c r="O392" s="9"/>
      <c r="P392" s="9"/>
      <c r="Q392" s="9"/>
      <c r="R392" s="9"/>
      <c r="S392" s="8"/>
      <c r="T392" s="9" t="str">
        <f aca="false">IF(J392="","",EDATE(MAX(J392,K392,P392,Q392,R392),36))</f>
        <v/>
      </c>
      <c r="U392" s="9" t="str">
        <f aca="false">IF(OR(L392&lt;&gt;"Email",K392="",P392&lt;&gt;"",M392="Opposition",M392="Pas intéressé",M392="Client",M392="Rendez-vous pris",M392="Numéro erroné"),"",WORKDAY(K392,5))</f>
        <v/>
      </c>
      <c r="V392" s="9" t="str">
        <f aca="false">IF(OR(P392="",Q392&lt;&gt;"",M392="Opposition",M392="Pas intéressé",M392="Client",M392="Rendez-vous pris",M392="Numéro erroné"),"",WORKDAY(P392,7))</f>
        <v/>
      </c>
      <c r="W392" s="7" t="str">
        <f aca="true">IF(M392="Opposition","Ne pas contacter",IF(AND(U392&lt;&gt;"",U392&lt;=TODAY()),"Relance 1 à envoyer",IF(AND(V392&lt;&gt;"",V392&lt;=TODAY()),"Relance 2 à envoyer",IF(AND(O392&lt;&gt;"",O392&lt;=TODAY()),"Rappel à faire",""))))</f>
        <v/>
      </c>
    </row>
    <row r="393" customFormat="false" ht="15" hidden="false" customHeight="false" outlineLevel="0" collapsed="false">
      <c r="A393" s="7" t="n">
        <v>392</v>
      </c>
      <c r="B393" s="8"/>
      <c r="C393" s="8"/>
      <c r="D393" s="7"/>
      <c r="E393" s="7"/>
      <c r="F393" s="8"/>
      <c r="G393" s="7"/>
      <c r="H393" s="7"/>
      <c r="I393" s="8"/>
      <c r="J393" s="9"/>
      <c r="K393" s="9"/>
      <c r="L393" s="7"/>
      <c r="M393" s="7"/>
      <c r="N393" s="8"/>
      <c r="O393" s="9"/>
      <c r="P393" s="9"/>
      <c r="Q393" s="9"/>
      <c r="R393" s="9"/>
      <c r="S393" s="8"/>
      <c r="T393" s="9" t="str">
        <f aca="false">IF(J393="","",EDATE(MAX(J393,K393,P393,Q393,R393),36))</f>
        <v/>
      </c>
      <c r="U393" s="9" t="str">
        <f aca="false">IF(OR(L393&lt;&gt;"Email",K393="",P393&lt;&gt;"",M393="Opposition",M393="Pas intéressé",M393="Client",M393="Rendez-vous pris",M393="Numéro erroné"),"",WORKDAY(K393,5))</f>
        <v/>
      </c>
      <c r="V393" s="9" t="str">
        <f aca="false">IF(OR(P393="",Q393&lt;&gt;"",M393="Opposition",M393="Pas intéressé",M393="Client",M393="Rendez-vous pris",M393="Numéro erroné"),"",WORKDAY(P393,7))</f>
        <v/>
      </c>
      <c r="W393" s="7" t="str">
        <f aca="true">IF(M393="Opposition","Ne pas contacter",IF(AND(U393&lt;&gt;"",U393&lt;=TODAY()),"Relance 1 à envoyer",IF(AND(V393&lt;&gt;"",V393&lt;=TODAY()),"Relance 2 à envoyer",IF(AND(O393&lt;&gt;"",O393&lt;=TODAY()),"Rappel à faire",""))))</f>
        <v/>
      </c>
    </row>
    <row r="394" customFormat="false" ht="15" hidden="false" customHeight="false" outlineLevel="0" collapsed="false">
      <c r="A394" s="7" t="n">
        <v>393</v>
      </c>
      <c r="B394" s="8"/>
      <c r="C394" s="8"/>
      <c r="D394" s="7"/>
      <c r="E394" s="7"/>
      <c r="F394" s="8"/>
      <c r="G394" s="7"/>
      <c r="H394" s="7"/>
      <c r="I394" s="8"/>
      <c r="J394" s="9"/>
      <c r="K394" s="9"/>
      <c r="L394" s="7"/>
      <c r="M394" s="7"/>
      <c r="N394" s="8"/>
      <c r="O394" s="9"/>
      <c r="P394" s="9"/>
      <c r="Q394" s="9"/>
      <c r="R394" s="9"/>
      <c r="S394" s="8"/>
      <c r="T394" s="9" t="str">
        <f aca="false">IF(J394="","",EDATE(MAX(J394,K394,P394,Q394,R394),36))</f>
        <v/>
      </c>
      <c r="U394" s="9" t="str">
        <f aca="false">IF(OR(L394&lt;&gt;"Email",K394="",P394&lt;&gt;"",M394="Opposition",M394="Pas intéressé",M394="Client",M394="Rendez-vous pris",M394="Numéro erroné"),"",WORKDAY(K394,5))</f>
        <v/>
      </c>
      <c r="V394" s="9" t="str">
        <f aca="false">IF(OR(P394="",Q394&lt;&gt;"",M394="Opposition",M394="Pas intéressé",M394="Client",M394="Rendez-vous pris",M394="Numéro erroné"),"",WORKDAY(P394,7))</f>
        <v/>
      </c>
      <c r="W394" s="7" t="str">
        <f aca="true">IF(M394="Opposition","Ne pas contacter",IF(AND(U394&lt;&gt;"",U394&lt;=TODAY()),"Relance 1 à envoyer",IF(AND(V394&lt;&gt;"",V394&lt;=TODAY()),"Relance 2 à envoyer",IF(AND(O394&lt;&gt;"",O394&lt;=TODAY()),"Rappel à faire",""))))</f>
        <v/>
      </c>
    </row>
    <row r="395" customFormat="false" ht="15" hidden="false" customHeight="false" outlineLevel="0" collapsed="false">
      <c r="A395" s="7" t="n">
        <v>394</v>
      </c>
      <c r="B395" s="8"/>
      <c r="C395" s="8"/>
      <c r="D395" s="7"/>
      <c r="E395" s="7"/>
      <c r="F395" s="8"/>
      <c r="G395" s="7"/>
      <c r="H395" s="7"/>
      <c r="I395" s="8"/>
      <c r="J395" s="9"/>
      <c r="K395" s="9"/>
      <c r="L395" s="7"/>
      <c r="M395" s="7"/>
      <c r="N395" s="8"/>
      <c r="O395" s="9"/>
      <c r="P395" s="9"/>
      <c r="Q395" s="9"/>
      <c r="R395" s="9"/>
      <c r="S395" s="8"/>
      <c r="T395" s="9" t="str">
        <f aca="false">IF(J395="","",EDATE(MAX(J395,K395,P395,Q395,R395),36))</f>
        <v/>
      </c>
      <c r="U395" s="9" t="str">
        <f aca="false">IF(OR(L395&lt;&gt;"Email",K395="",P395&lt;&gt;"",M395="Opposition",M395="Pas intéressé",M395="Client",M395="Rendez-vous pris",M395="Numéro erroné"),"",WORKDAY(K395,5))</f>
        <v/>
      </c>
      <c r="V395" s="9" t="str">
        <f aca="false">IF(OR(P395="",Q395&lt;&gt;"",M395="Opposition",M395="Pas intéressé",M395="Client",M395="Rendez-vous pris",M395="Numéro erroné"),"",WORKDAY(P395,7))</f>
        <v/>
      </c>
      <c r="W395" s="7" t="str">
        <f aca="true">IF(M395="Opposition","Ne pas contacter",IF(AND(U395&lt;&gt;"",U395&lt;=TODAY()),"Relance 1 à envoyer",IF(AND(V395&lt;&gt;"",V395&lt;=TODAY()),"Relance 2 à envoyer",IF(AND(O395&lt;&gt;"",O395&lt;=TODAY()),"Rappel à faire",""))))</f>
        <v/>
      </c>
    </row>
    <row r="396" customFormat="false" ht="15" hidden="false" customHeight="false" outlineLevel="0" collapsed="false">
      <c r="A396" s="7" t="n">
        <v>395</v>
      </c>
      <c r="B396" s="8"/>
      <c r="C396" s="8"/>
      <c r="D396" s="7"/>
      <c r="E396" s="7"/>
      <c r="F396" s="8"/>
      <c r="G396" s="7"/>
      <c r="H396" s="7"/>
      <c r="I396" s="8"/>
      <c r="J396" s="9"/>
      <c r="K396" s="9"/>
      <c r="L396" s="7"/>
      <c r="M396" s="7"/>
      <c r="N396" s="8"/>
      <c r="O396" s="9"/>
      <c r="P396" s="9"/>
      <c r="Q396" s="9"/>
      <c r="R396" s="9"/>
      <c r="S396" s="8"/>
      <c r="T396" s="9" t="str">
        <f aca="false">IF(J396="","",EDATE(MAX(J396,K396,P396,Q396,R396),36))</f>
        <v/>
      </c>
      <c r="U396" s="9" t="str">
        <f aca="false">IF(OR(L396&lt;&gt;"Email",K396="",P396&lt;&gt;"",M396="Opposition",M396="Pas intéressé",M396="Client",M396="Rendez-vous pris",M396="Numéro erroné"),"",WORKDAY(K396,5))</f>
        <v/>
      </c>
      <c r="V396" s="9" t="str">
        <f aca="false">IF(OR(P396="",Q396&lt;&gt;"",M396="Opposition",M396="Pas intéressé",M396="Client",M396="Rendez-vous pris",M396="Numéro erroné"),"",WORKDAY(P396,7))</f>
        <v/>
      </c>
      <c r="W396" s="7" t="str">
        <f aca="true">IF(M396="Opposition","Ne pas contacter",IF(AND(U396&lt;&gt;"",U396&lt;=TODAY()),"Relance 1 à envoyer",IF(AND(V396&lt;&gt;"",V396&lt;=TODAY()),"Relance 2 à envoyer",IF(AND(O396&lt;&gt;"",O396&lt;=TODAY()),"Rappel à faire",""))))</f>
        <v/>
      </c>
    </row>
    <row r="397" customFormat="false" ht="15" hidden="false" customHeight="false" outlineLevel="0" collapsed="false">
      <c r="A397" s="7" t="n">
        <v>396</v>
      </c>
      <c r="B397" s="8"/>
      <c r="C397" s="8"/>
      <c r="D397" s="7"/>
      <c r="E397" s="7"/>
      <c r="F397" s="8"/>
      <c r="G397" s="7"/>
      <c r="H397" s="7"/>
      <c r="I397" s="8"/>
      <c r="J397" s="9"/>
      <c r="K397" s="9"/>
      <c r="L397" s="7"/>
      <c r="M397" s="7"/>
      <c r="N397" s="8"/>
      <c r="O397" s="9"/>
      <c r="P397" s="9"/>
      <c r="Q397" s="9"/>
      <c r="R397" s="9"/>
      <c r="S397" s="8"/>
      <c r="T397" s="9" t="str">
        <f aca="false">IF(J397="","",EDATE(MAX(J397,K397,P397,Q397,R397),36))</f>
        <v/>
      </c>
      <c r="U397" s="9" t="str">
        <f aca="false">IF(OR(L397&lt;&gt;"Email",K397="",P397&lt;&gt;"",M397="Opposition",M397="Pas intéressé",M397="Client",M397="Rendez-vous pris",M397="Numéro erroné"),"",WORKDAY(K397,5))</f>
        <v/>
      </c>
      <c r="V397" s="9" t="str">
        <f aca="false">IF(OR(P397="",Q397&lt;&gt;"",M397="Opposition",M397="Pas intéressé",M397="Client",M397="Rendez-vous pris",M397="Numéro erroné"),"",WORKDAY(P397,7))</f>
        <v/>
      </c>
      <c r="W397" s="7" t="str">
        <f aca="true">IF(M397="Opposition","Ne pas contacter",IF(AND(U397&lt;&gt;"",U397&lt;=TODAY()),"Relance 1 à envoyer",IF(AND(V397&lt;&gt;"",V397&lt;=TODAY()),"Relance 2 à envoyer",IF(AND(O397&lt;&gt;"",O397&lt;=TODAY()),"Rappel à faire",""))))</f>
        <v/>
      </c>
    </row>
    <row r="398" customFormat="false" ht="15" hidden="false" customHeight="false" outlineLevel="0" collapsed="false">
      <c r="A398" s="7" t="n">
        <v>397</v>
      </c>
      <c r="B398" s="8"/>
      <c r="C398" s="8"/>
      <c r="D398" s="7"/>
      <c r="E398" s="7"/>
      <c r="F398" s="8"/>
      <c r="G398" s="7"/>
      <c r="H398" s="7"/>
      <c r="I398" s="8"/>
      <c r="J398" s="9"/>
      <c r="K398" s="9"/>
      <c r="L398" s="7"/>
      <c r="M398" s="7"/>
      <c r="N398" s="8"/>
      <c r="O398" s="9"/>
      <c r="P398" s="9"/>
      <c r="Q398" s="9"/>
      <c r="R398" s="9"/>
      <c r="S398" s="8"/>
      <c r="T398" s="9" t="str">
        <f aca="false">IF(J398="","",EDATE(MAX(J398,K398,P398,Q398,R398),36))</f>
        <v/>
      </c>
      <c r="U398" s="9" t="str">
        <f aca="false">IF(OR(L398&lt;&gt;"Email",K398="",P398&lt;&gt;"",M398="Opposition",M398="Pas intéressé",M398="Client",M398="Rendez-vous pris",M398="Numéro erroné"),"",WORKDAY(K398,5))</f>
        <v/>
      </c>
      <c r="V398" s="9" t="str">
        <f aca="false">IF(OR(P398="",Q398&lt;&gt;"",M398="Opposition",M398="Pas intéressé",M398="Client",M398="Rendez-vous pris",M398="Numéro erroné"),"",WORKDAY(P398,7))</f>
        <v/>
      </c>
      <c r="W398" s="7" t="str">
        <f aca="true">IF(M398="Opposition","Ne pas contacter",IF(AND(U398&lt;&gt;"",U398&lt;=TODAY()),"Relance 1 à envoyer",IF(AND(V398&lt;&gt;"",V398&lt;=TODAY()),"Relance 2 à envoyer",IF(AND(O398&lt;&gt;"",O398&lt;=TODAY()),"Rappel à faire",""))))</f>
        <v/>
      </c>
    </row>
    <row r="399" customFormat="false" ht="15" hidden="false" customHeight="false" outlineLevel="0" collapsed="false">
      <c r="A399" s="7" t="n">
        <v>398</v>
      </c>
      <c r="B399" s="8"/>
      <c r="C399" s="8"/>
      <c r="D399" s="7"/>
      <c r="E399" s="7"/>
      <c r="F399" s="8"/>
      <c r="G399" s="7"/>
      <c r="H399" s="7"/>
      <c r="I399" s="8"/>
      <c r="J399" s="9"/>
      <c r="K399" s="9"/>
      <c r="L399" s="7"/>
      <c r="M399" s="7"/>
      <c r="N399" s="8"/>
      <c r="O399" s="9"/>
      <c r="P399" s="9"/>
      <c r="Q399" s="9"/>
      <c r="R399" s="9"/>
      <c r="S399" s="8"/>
      <c r="T399" s="9" t="str">
        <f aca="false">IF(J399="","",EDATE(MAX(J399,K399,P399,Q399,R399),36))</f>
        <v/>
      </c>
      <c r="U399" s="9" t="str">
        <f aca="false">IF(OR(L399&lt;&gt;"Email",K399="",P399&lt;&gt;"",M399="Opposition",M399="Pas intéressé",M399="Client",M399="Rendez-vous pris",M399="Numéro erroné"),"",WORKDAY(K399,5))</f>
        <v/>
      </c>
      <c r="V399" s="9" t="str">
        <f aca="false">IF(OR(P399="",Q399&lt;&gt;"",M399="Opposition",M399="Pas intéressé",M399="Client",M399="Rendez-vous pris",M399="Numéro erroné"),"",WORKDAY(P399,7))</f>
        <v/>
      </c>
      <c r="W399" s="7" t="str">
        <f aca="true">IF(M399="Opposition","Ne pas contacter",IF(AND(U399&lt;&gt;"",U399&lt;=TODAY()),"Relance 1 à envoyer",IF(AND(V399&lt;&gt;"",V399&lt;=TODAY()),"Relance 2 à envoyer",IF(AND(O399&lt;&gt;"",O399&lt;=TODAY()),"Rappel à faire",""))))</f>
        <v/>
      </c>
    </row>
    <row r="400" customFormat="false" ht="15" hidden="false" customHeight="false" outlineLevel="0" collapsed="false">
      <c r="A400" s="7" t="n">
        <v>399</v>
      </c>
      <c r="B400" s="8"/>
      <c r="C400" s="8"/>
      <c r="D400" s="7"/>
      <c r="E400" s="7"/>
      <c r="F400" s="8"/>
      <c r="G400" s="7"/>
      <c r="H400" s="7"/>
      <c r="I400" s="8"/>
      <c r="J400" s="9"/>
      <c r="K400" s="9"/>
      <c r="L400" s="7"/>
      <c r="M400" s="7"/>
      <c r="N400" s="8"/>
      <c r="O400" s="9"/>
      <c r="P400" s="9"/>
      <c r="Q400" s="9"/>
      <c r="R400" s="9"/>
      <c r="S400" s="8"/>
      <c r="T400" s="9" t="str">
        <f aca="false">IF(J400="","",EDATE(MAX(J400,K400,P400,Q400,R400),36))</f>
        <v/>
      </c>
      <c r="U400" s="9" t="str">
        <f aca="false">IF(OR(L400&lt;&gt;"Email",K400="",P400&lt;&gt;"",M400="Opposition",M400="Pas intéressé",M400="Client",M400="Rendez-vous pris",M400="Numéro erroné"),"",WORKDAY(K400,5))</f>
        <v/>
      </c>
      <c r="V400" s="9" t="str">
        <f aca="false">IF(OR(P400="",Q400&lt;&gt;"",M400="Opposition",M400="Pas intéressé",M400="Client",M400="Rendez-vous pris",M400="Numéro erroné"),"",WORKDAY(P400,7))</f>
        <v/>
      </c>
      <c r="W400" s="7" t="str">
        <f aca="true">IF(M400="Opposition","Ne pas contacter",IF(AND(U400&lt;&gt;"",U400&lt;=TODAY()),"Relance 1 à envoyer",IF(AND(V400&lt;&gt;"",V400&lt;=TODAY()),"Relance 2 à envoyer",IF(AND(O400&lt;&gt;"",O400&lt;=TODAY()),"Rappel à faire",""))))</f>
        <v/>
      </c>
    </row>
    <row r="401" customFormat="false" ht="15" hidden="false" customHeight="false" outlineLevel="0" collapsed="false">
      <c r="A401" s="7" t="n">
        <v>400</v>
      </c>
      <c r="B401" s="8"/>
      <c r="C401" s="8"/>
      <c r="D401" s="7"/>
      <c r="E401" s="7"/>
      <c r="F401" s="8"/>
      <c r="G401" s="7"/>
      <c r="H401" s="7"/>
      <c r="I401" s="8"/>
      <c r="J401" s="9"/>
      <c r="K401" s="9"/>
      <c r="L401" s="7"/>
      <c r="M401" s="7"/>
      <c r="N401" s="8"/>
      <c r="O401" s="9"/>
      <c r="P401" s="9"/>
      <c r="Q401" s="9"/>
      <c r="R401" s="9"/>
      <c r="S401" s="8"/>
      <c r="T401" s="9" t="str">
        <f aca="false">IF(J401="","",EDATE(MAX(J401,K401,P401,Q401,R401),36))</f>
        <v/>
      </c>
      <c r="U401" s="9" t="str">
        <f aca="false">IF(OR(L401&lt;&gt;"Email",K401="",P401&lt;&gt;"",M401="Opposition",M401="Pas intéressé",M401="Client",M401="Rendez-vous pris",M401="Numéro erroné"),"",WORKDAY(K401,5))</f>
        <v/>
      </c>
      <c r="V401" s="9" t="str">
        <f aca="false">IF(OR(P401="",Q401&lt;&gt;"",M401="Opposition",M401="Pas intéressé",M401="Client",M401="Rendez-vous pris",M401="Numéro erroné"),"",WORKDAY(P401,7))</f>
        <v/>
      </c>
      <c r="W401" s="7" t="str">
        <f aca="true">IF(M401="Opposition","Ne pas contacter",IF(AND(U401&lt;&gt;"",U401&lt;=TODAY()),"Relance 1 à envoyer",IF(AND(V401&lt;&gt;"",V401&lt;=TODAY()),"Relance 2 à envoyer",IF(AND(O401&lt;&gt;"",O401&lt;=TODAY()),"Rappel à faire",""))))</f>
        <v/>
      </c>
    </row>
    <row r="402" customFormat="false" ht="15" hidden="false" customHeight="false" outlineLevel="0" collapsed="false">
      <c r="A402" s="7" t="n">
        <v>401</v>
      </c>
      <c r="B402" s="8"/>
      <c r="C402" s="8"/>
      <c r="D402" s="7"/>
      <c r="E402" s="7"/>
      <c r="F402" s="8"/>
      <c r="G402" s="7"/>
      <c r="H402" s="7"/>
      <c r="I402" s="8"/>
      <c r="J402" s="9"/>
      <c r="K402" s="9"/>
      <c r="L402" s="7"/>
      <c r="M402" s="7"/>
      <c r="N402" s="8"/>
      <c r="O402" s="9"/>
      <c r="P402" s="9"/>
      <c r="Q402" s="9"/>
      <c r="R402" s="9"/>
      <c r="S402" s="8"/>
      <c r="T402" s="9" t="str">
        <f aca="false">IF(J402="","",EDATE(MAX(J402,K402,P402,Q402,R402),36))</f>
        <v/>
      </c>
      <c r="U402" s="9" t="str">
        <f aca="false">IF(OR(L402&lt;&gt;"Email",K402="",P402&lt;&gt;"",M402="Opposition",M402="Pas intéressé",M402="Client",M402="Rendez-vous pris",M402="Numéro erroné"),"",WORKDAY(K402,5))</f>
        <v/>
      </c>
      <c r="V402" s="9" t="str">
        <f aca="false">IF(OR(P402="",Q402&lt;&gt;"",M402="Opposition",M402="Pas intéressé",M402="Client",M402="Rendez-vous pris",M402="Numéro erroné"),"",WORKDAY(P402,7))</f>
        <v/>
      </c>
      <c r="W402" s="7" t="str">
        <f aca="true">IF(M402="Opposition","Ne pas contacter",IF(AND(U402&lt;&gt;"",U402&lt;=TODAY()),"Relance 1 à envoyer",IF(AND(V402&lt;&gt;"",V402&lt;=TODAY()),"Relance 2 à envoyer",IF(AND(O402&lt;&gt;"",O402&lt;=TODAY()),"Rappel à faire",""))))</f>
        <v/>
      </c>
    </row>
    <row r="403" customFormat="false" ht="15" hidden="false" customHeight="false" outlineLevel="0" collapsed="false">
      <c r="A403" s="7" t="n">
        <v>402</v>
      </c>
      <c r="B403" s="8"/>
      <c r="C403" s="8"/>
      <c r="D403" s="7"/>
      <c r="E403" s="7"/>
      <c r="F403" s="8"/>
      <c r="G403" s="7"/>
      <c r="H403" s="7"/>
      <c r="I403" s="8"/>
      <c r="J403" s="9"/>
      <c r="K403" s="9"/>
      <c r="L403" s="7"/>
      <c r="M403" s="7"/>
      <c r="N403" s="8"/>
      <c r="O403" s="9"/>
      <c r="P403" s="9"/>
      <c r="Q403" s="9"/>
      <c r="R403" s="9"/>
      <c r="S403" s="8"/>
      <c r="T403" s="9" t="str">
        <f aca="false">IF(J403="","",EDATE(MAX(J403,K403,P403,Q403,R403),36))</f>
        <v/>
      </c>
      <c r="U403" s="9" t="str">
        <f aca="false">IF(OR(L403&lt;&gt;"Email",K403="",P403&lt;&gt;"",M403="Opposition",M403="Pas intéressé",M403="Client",M403="Rendez-vous pris",M403="Numéro erroné"),"",WORKDAY(K403,5))</f>
        <v/>
      </c>
      <c r="V403" s="9" t="str">
        <f aca="false">IF(OR(P403="",Q403&lt;&gt;"",M403="Opposition",M403="Pas intéressé",M403="Client",M403="Rendez-vous pris",M403="Numéro erroné"),"",WORKDAY(P403,7))</f>
        <v/>
      </c>
      <c r="W403" s="7" t="str">
        <f aca="true">IF(M403="Opposition","Ne pas contacter",IF(AND(U403&lt;&gt;"",U403&lt;=TODAY()),"Relance 1 à envoyer",IF(AND(V403&lt;&gt;"",V403&lt;=TODAY()),"Relance 2 à envoyer",IF(AND(O403&lt;&gt;"",O403&lt;=TODAY()),"Rappel à faire",""))))</f>
        <v/>
      </c>
    </row>
    <row r="404" customFormat="false" ht="15" hidden="false" customHeight="false" outlineLevel="0" collapsed="false">
      <c r="A404" s="7" t="n">
        <v>403</v>
      </c>
      <c r="B404" s="8"/>
      <c r="C404" s="8"/>
      <c r="D404" s="7"/>
      <c r="E404" s="7"/>
      <c r="F404" s="8"/>
      <c r="G404" s="7"/>
      <c r="H404" s="7"/>
      <c r="I404" s="8"/>
      <c r="J404" s="9"/>
      <c r="K404" s="9"/>
      <c r="L404" s="7"/>
      <c r="M404" s="7"/>
      <c r="N404" s="8"/>
      <c r="O404" s="9"/>
      <c r="P404" s="9"/>
      <c r="Q404" s="9"/>
      <c r="R404" s="9"/>
      <c r="S404" s="8"/>
      <c r="T404" s="9" t="str">
        <f aca="false">IF(J404="","",EDATE(MAX(J404,K404,P404,Q404,R404),36))</f>
        <v/>
      </c>
      <c r="U404" s="9" t="str">
        <f aca="false">IF(OR(L404&lt;&gt;"Email",K404="",P404&lt;&gt;"",M404="Opposition",M404="Pas intéressé",M404="Client",M404="Rendez-vous pris",M404="Numéro erroné"),"",WORKDAY(K404,5))</f>
        <v/>
      </c>
      <c r="V404" s="9" t="str">
        <f aca="false">IF(OR(P404="",Q404&lt;&gt;"",M404="Opposition",M404="Pas intéressé",M404="Client",M404="Rendez-vous pris",M404="Numéro erroné"),"",WORKDAY(P404,7))</f>
        <v/>
      </c>
      <c r="W404" s="7" t="str">
        <f aca="true">IF(M404="Opposition","Ne pas contacter",IF(AND(U404&lt;&gt;"",U404&lt;=TODAY()),"Relance 1 à envoyer",IF(AND(V404&lt;&gt;"",V404&lt;=TODAY()),"Relance 2 à envoyer",IF(AND(O404&lt;&gt;"",O404&lt;=TODAY()),"Rappel à faire",""))))</f>
        <v/>
      </c>
    </row>
    <row r="405" customFormat="false" ht="15" hidden="false" customHeight="false" outlineLevel="0" collapsed="false">
      <c r="A405" s="7" t="n">
        <v>404</v>
      </c>
      <c r="B405" s="8"/>
      <c r="C405" s="8"/>
      <c r="D405" s="7"/>
      <c r="E405" s="7"/>
      <c r="F405" s="8"/>
      <c r="G405" s="7"/>
      <c r="H405" s="7"/>
      <c r="I405" s="8"/>
      <c r="J405" s="9"/>
      <c r="K405" s="9"/>
      <c r="L405" s="7"/>
      <c r="M405" s="7"/>
      <c r="N405" s="8"/>
      <c r="O405" s="9"/>
      <c r="P405" s="9"/>
      <c r="Q405" s="9"/>
      <c r="R405" s="9"/>
      <c r="S405" s="8"/>
      <c r="T405" s="9" t="str">
        <f aca="false">IF(J405="","",EDATE(MAX(J405,K405,P405,Q405,R405),36))</f>
        <v/>
      </c>
      <c r="U405" s="9" t="str">
        <f aca="false">IF(OR(L405&lt;&gt;"Email",K405="",P405&lt;&gt;"",M405="Opposition",M405="Pas intéressé",M405="Client",M405="Rendez-vous pris",M405="Numéro erroné"),"",WORKDAY(K405,5))</f>
        <v/>
      </c>
      <c r="V405" s="9" t="str">
        <f aca="false">IF(OR(P405="",Q405&lt;&gt;"",M405="Opposition",M405="Pas intéressé",M405="Client",M405="Rendez-vous pris",M405="Numéro erroné"),"",WORKDAY(P405,7))</f>
        <v/>
      </c>
      <c r="W405" s="7" t="str">
        <f aca="true">IF(M405="Opposition","Ne pas contacter",IF(AND(U405&lt;&gt;"",U405&lt;=TODAY()),"Relance 1 à envoyer",IF(AND(V405&lt;&gt;"",V405&lt;=TODAY()),"Relance 2 à envoyer",IF(AND(O405&lt;&gt;"",O405&lt;=TODAY()),"Rappel à faire",""))))</f>
        <v/>
      </c>
    </row>
    <row r="406" customFormat="false" ht="15" hidden="false" customHeight="false" outlineLevel="0" collapsed="false">
      <c r="A406" s="7" t="n">
        <v>405</v>
      </c>
      <c r="B406" s="8"/>
      <c r="C406" s="8"/>
      <c r="D406" s="7"/>
      <c r="E406" s="7"/>
      <c r="F406" s="8"/>
      <c r="G406" s="7"/>
      <c r="H406" s="7"/>
      <c r="I406" s="8"/>
      <c r="J406" s="9"/>
      <c r="K406" s="9"/>
      <c r="L406" s="7"/>
      <c r="M406" s="7"/>
      <c r="N406" s="8"/>
      <c r="O406" s="9"/>
      <c r="P406" s="9"/>
      <c r="Q406" s="9"/>
      <c r="R406" s="9"/>
      <c r="S406" s="8"/>
      <c r="T406" s="9" t="str">
        <f aca="false">IF(J406="","",EDATE(MAX(J406,K406,P406,Q406,R406),36))</f>
        <v/>
      </c>
      <c r="U406" s="9" t="str">
        <f aca="false">IF(OR(L406&lt;&gt;"Email",K406="",P406&lt;&gt;"",M406="Opposition",M406="Pas intéressé",M406="Client",M406="Rendez-vous pris",M406="Numéro erroné"),"",WORKDAY(K406,5))</f>
        <v/>
      </c>
      <c r="V406" s="9" t="str">
        <f aca="false">IF(OR(P406="",Q406&lt;&gt;"",M406="Opposition",M406="Pas intéressé",M406="Client",M406="Rendez-vous pris",M406="Numéro erroné"),"",WORKDAY(P406,7))</f>
        <v/>
      </c>
      <c r="W406" s="7" t="str">
        <f aca="true">IF(M406="Opposition","Ne pas contacter",IF(AND(U406&lt;&gt;"",U406&lt;=TODAY()),"Relance 1 à envoyer",IF(AND(V406&lt;&gt;"",V406&lt;=TODAY()),"Relance 2 à envoyer",IF(AND(O406&lt;&gt;"",O406&lt;=TODAY()),"Rappel à faire",""))))</f>
        <v/>
      </c>
    </row>
    <row r="407" customFormat="false" ht="15" hidden="false" customHeight="false" outlineLevel="0" collapsed="false">
      <c r="A407" s="7" t="n">
        <v>406</v>
      </c>
      <c r="B407" s="8"/>
      <c r="C407" s="8"/>
      <c r="D407" s="7"/>
      <c r="E407" s="7"/>
      <c r="F407" s="8"/>
      <c r="G407" s="7"/>
      <c r="H407" s="7"/>
      <c r="I407" s="8"/>
      <c r="J407" s="9"/>
      <c r="K407" s="9"/>
      <c r="L407" s="7"/>
      <c r="M407" s="7"/>
      <c r="N407" s="8"/>
      <c r="O407" s="9"/>
      <c r="P407" s="9"/>
      <c r="Q407" s="9"/>
      <c r="R407" s="9"/>
      <c r="S407" s="8"/>
      <c r="T407" s="9" t="str">
        <f aca="false">IF(J407="","",EDATE(MAX(J407,K407,P407,Q407,R407),36))</f>
        <v/>
      </c>
      <c r="U407" s="9" t="str">
        <f aca="false">IF(OR(L407&lt;&gt;"Email",K407="",P407&lt;&gt;"",M407="Opposition",M407="Pas intéressé",M407="Client",M407="Rendez-vous pris",M407="Numéro erroné"),"",WORKDAY(K407,5))</f>
        <v/>
      </c>
      <c r="V407" s="9" t="str">
        <f aca="false">IF(OR(P407="",Q407&lt;&gt;"",M407="Opposition",M407="Pas intéressé",M407="Client",M407="Rendez-vous pris",M407="Numéro erroné"),"",WORKDAY(P407,7))</f>
        <v/>
      </c>
      <c r="W407" s="7" t="str">
        <f aca="true">IF(M407="Opposition","Ne pas contacter",IF(AND(U407&lt;&gt;"",U407&lt;=TODAY()),"Relance 1 à envoyer",IF(AND(V407&lt;&gt;"",V407&lt;=TODAY()),"Relance 2 à envoyer",IF(AND(O407&lt;&gt;"",O407&lt;=TODAY()),"Rappel à faire",""))))</f>
        <v/>
      </c>
    </row>
    <row r="408" customFormat="false" ht="15" hidden="false" customHeight="false" outlineLevel="0" collapsed="false">
      <c r="A408" s="7" t="n">
        <v>407</v>
      </c>
      <c r="B408" s="8"/>
      <c r="C408" s="8"/>
      <c r="D408" s="7"/>
      <c r="E408" s="7"/>
      <c r="F408" s="8"/>
      <c r="G408" s="7"/>
      <c r="H408" s="7"/>
      <c r="I408" s="8"/>
      <c r="J408" s="9"/>
      <c r="K408" s="9"/>
      <c r="L408" s="7"/>
      <c r="M408" s="7"/>
      <c r="N408" s="8"/>
      <c r="O408" s="9"/>
      <c r="P408" s="9"/>
      <c r="Q408" s="9"/>
      <c r="R408" s="9"/>
      <c r="S408" s="8"/>
      <c r="T408" s="9" t="str">
        <f aca="false">IF(J408="","",EDATE(MAX(J408,K408,P408,Q408,R408),36))</f>
        <v/>
      </c>
      <c r="U408" s="9" t="str">
        <f aca="false">IF(OR(L408&lt;&gt;"Email",K408="",P408&lt;&gt;"",M408="Opposition",M408="Pas intéressé",M408="Client",M408="Rendez-vous pris",M408="Numéro erroné"),"",WORKDAY(K408,5))</f>
        <v/>
      </c>
      <c r="V408" s="9" t="str">
        <f aca="false">IF(OR(P408="",Q408&lt;&gt;"",M408="Opposition",M408="Pas intéressé",M408="Client",M408="Rendez-vous pris",M408="Numéro erroné"),"",WORKDAY(P408,7))</f>
        <v/>
      </c>
      <c r="W408" s="7" t="str">
        <f aca="true">IF(M408="Opposition","Ne pas contacter",IF(AND(U408&lt;&gt;"",U408&lt;=TODAY()),"Relance 1 à envoyer",IF(AND(V408&lt;&gt;"",V408&lt;=TODAY()),"Relance 2 à envoyer",IF(AND(O408&lt;&gt;"",O408&lt;=TODAY()),"Rappel à faire",""))))</f>
        <v/>
      </c>
    </row>
    <row r="409" customFormat="false" ht="15" hidden="false" customHeight="false" outlineLevel="0" collapsed="false">
      <c r="A409" s="7" t="n">
        <v>408</v>
      </c>
      <c r="B409" s="8"/>
      <c r="C409" s="8"/>
      <c r="D409" s="7"/>
      <c r="E409" s="7"/>
      <c r="F409" s="8"/>
      <c r="G409" s="7"/>
      <c r="H409" s="7"/>
      <c r="I409" s="8"/>
      <c r="J409" s="9"/>
      <c r="K409" s="9"/>
      <c r="L409" s="7"/>
      <c r="M409" s="7"/>
      <c r="N409" s="8"/>
      <c r="O409" s="9"/>
      <c r="P409" s="9"/>
      <c r="Q409" s="9"/>
      <c r="R409" s="9"/>
      <c r="S409" s="8"/>
      <c r="T409" s="9" t="str">
        <f aca="false">IF(J409="","",EDATE(MAX(J409,K409,P409,Q409,R409),36))</f>
        <v/>
      </c>
      <c r="U409" s="9" t="str">
        <f aca="false">IF(OR(L409&lt;&gt;"Email",K409="",P409&lt;&gt;"",M409="Opposition",M409="Pas intéressé",M409="Client",M409="Rendez-vous pris",M409="Numéro erroné"),"",WORKDAY(K409,5))</f>
        <v/>
      </c>
      <c r="V409" s="9" t="str">
        <f aca="false">IF(OR(P409="",Q409&lt;&gt;"",M409="Opposition",M409="Pas intéressé",M409="Client",M409="Rendez-vous pris",M409="Numéro erroné"),"",WORKDAY(P409,7))</f>
        <v/>
      </c>
      <c r="W409" s="7" t="str">
        <f aca="true">IF(M409="Opposition","Ne pas contacter",IF(AND(U409&lt;&gt;"",U409&lt;=TODAY()),"Relance 1 à envoyer",IF(AND(V409&lt;&gt;"",V409&lt;=TODAY()),"Relance 2 à envoyer",IF(AND(O409&lt;&gt;"",O409&lt;=TODAY()),"Rappel à faire",""))))</f>
        <v/>
      </c>
    </row>
    <row r="410" customFormat="false" ht="15" hidden="false" customHeight="false" outlineLevel="0" collapsed="false">
      <c r="A410" s="7" t="n">
        <v>409</v>
      </c>
      <c r="B410" s="8"/>
      <c r="C410" s="8"/>
      <c r="D410" s="7"/>
      <c r="E410" s="7"/>
      <c r="F410" s="8"/>
      <c r="G410" s="7"/>
      <c r="H410" s="7"/>
      <c r="I410" s="8"/>
      <c r="J410" s="9"/>
      <c r="K410" s="9"/>
      <c r="L410" s="7"/>
      <c r="M410" s="7"/>
      <c r="N410" s="8"/>
      <c r="O410" s="9"/>
      <c r="P410" s="9"/>
      <c r="Q410" s="9"/>
      <c r="R410" s="9"/>
      <c r="S410" s="8"/>
      <c r="T410" s="9" t="str">
        <f aca="false">IF(J410="","",EDATE(MAX(J410,K410,P410,Q410,R410),36))</f>
        <v/>
      </c>
      <c r="U410" s="9" t="str">
        <f aca="false">IF(OR(L410&lt;&gt;"Email",K410="",P410&lt;&gt;"",M410="Opposition",M410="Pas intéressé",M410="Client",M410="Rendez-vous pris",M410="Numéro erroné"),"",WORKDAY(K410,5))</f>
        <v/>
      </c>
      <c r="V410" s="9" t="str">
        <f aca="false">IF(OR(P410="",Q410&lt;&gt;"",M410="Opposition",M410="Pas intéressé",M410="Client",M410="Rendez-vous pris",M410="Numéro erroné"),"",WORKDAY(P410,7))</f>
        <v/>
      </c>
      <c r="W410" s="7" t="str">
        <f aca="true">IF(M410="Opposition","Ne pas contacter",IF(AND(U410&lt;&gt;"",U410&lt;=TODAY()),"Relance 1 à envoyer",IF(AND(V410&lt;&gt;"",V410&lt;=TODAY()),"Relance 2 à envoyer",IF(AND(O410&lt;&gt;"",O410&lt;=TODAY()),"Rappel à faire",""))))</f>
        <v/>
      </c>
    </row>
    <row r="411" customFormat="false" ht="15" hidden="false" customHeight="false" outlineLevel="0" collapsed="false">
      <c r="A411" s="7" t="n">
        <v>410</v>
      </c>
      <c r="B411" s="8"/>
      <c r="C411" s="8"/>
      <c r="D411" s="7"/>
      <c r="E411" s="7"/>
      <c r="F411" s="8"/>
      <c r="G411" s="7"/>
      <c r="H411" s="7"/>
      <c r="I411" s="8"/>
      <c r="J411" s="9"/>
      <c r="K411" s="9"/>
      <c r="L411" s="7"/>
      <c r="M411" s="7"/>
      <c r="N411" s="8"/>
      <c r="O411" s="9"/>
      <c r="P411" s="9"/>
      <c r="Q411" s="9"/>
      <c r="R411" s="9"/>
      <c r="S411" s="8"/>
      <c r="T411" s="9" t="str">
        <f aca="false">IF(J411="","",EDATE(MAX(J411,K411,P411,Q411,R411),36))</f>
        <v/>
      </c>
      <c r="U411" s="9" t="str">
        <f aca="false">IF(OR(L411&lt;&gt;"Email",K411="",P411&lt;&gt;"",M411="Opposition",M411="Pas intéressé",M411="Client",M411="Rendez-vous pris",M411="Numéro erroné"),"",WORKDAY(K411,5))</f>
        <v/>
      </c>
      <c r="V411" s="9" t="str">
        <f aca="false">IF(OR(P411="",Q411&lt;&gt;"",M411="Opposition",M411="Pas intéressé",M411="Client",M411="Rendez-vous pris",M411="Numéro erroné"),"",WORKDAY(P411,7))</f>
        <v/>
      </c>
      <c r="W411" s="7" t="str">
        <f aca="true">IF(M411="Opposition","Ne pas contacter",IF(AND(U411&lt;&gt;"",U411&lt;=TODAY()),"Relance 1 à envoyer",IF(AND(V411&lt;&gt;"",V411&lt;=TODAY()),"Relance 2 à envoyer",IF(AND(O411&lt;&gt;"",O411&lt;=TODAY()),"Rappel à faire",""))))</f>
        <v/>
      </c>
    </row>
    <row r="412" customFormat="false" ht="15" hidden="false" customHeight="false" outlineLevel="0" collapsed="false">
      <c r="A412" s="7" t="n">
        <v>411</v>
      </c>
      <c r="B412" s="8"/>
      <c r="C412" s="8"/>
      <c r="D412" s="7"/>
      <c r="E412" s="7"/>
      <c r="F412" s="8"/>
      <c r="G412" s="7"/>
      <c r="H412" s="7"/>
      <c r="I412" s="8"/>
      <c r="J412" s="9"/>
      <c r="K412" s="9"/>
      <c r="L412" s="7"/>
      <c r="M412" s="7"/>
      <c r="N412" s="8"/>
      <c r="O412" s="9"/>
      <c r="P412" s="9"/>
      <c r="Q412" s="9"/>
      <c r="R412" s="9"/>
      <c r="S412" s="8"/>
      <c r="T412" s="9" t="str">
        <f aca="false">IF(J412="","",EDATE(MAX(J412,K412,P412,Q412,R412),36))</f>
        <v/>
      </c>
      <c r="U412" s="9" t="str">
        <f aca="false">IF(OR(L412&lt;&gt;"Email",K412="",P412&lt;&gt;"",M412="Opposition",M412="Pas intéressé",M412="Client",M412="Rendez-vous pris",M412="Numéro erroné"),"",WORKDAY(K412,5))</f>
        <v/>
      </c>
      <c r="V412" s="9" t="str">
        <f aca="false">IF(OR(P412="",Q412&lt;&gt;"",M412="Opposition",M412="Pas intéressé",M412="Client",M412="Rendez-vous pris",M412="Numéro erroné"),"",WORKDAY(P412,7))</f>
        <v/>
      </c>
      <c r="W412" s="7" t="str">
        <f aca="true">IF(M412="Opposition","Ne pas contacter",IF(AND(U412&lt;&gt;"",U412&lt;=TODAY()),"Relance 1 à envoyer",IF(AND(V412&lt;&gt;"",V412&lt;=TODAY()),"Relance 2 à envoyer",IF(AND(O412&lt;&gt;"",O412&lt;=TODAY()),"Rappel à faire",""))))</f>
        <v/>
      </c>
    </row>
    <row r="413" customFormat="false" ht="15" hidden="false" customHeight="false" outlineLevel="0" collapsed="false">
      <c r="A413" s="7" t="n">
        <v>412</v>
      </c>
      <c r="B413" s="8"/>
      <c r="C413" s="8"/>
      <c r="D413" s="7"/>
      <c r="E413" s="7"/>
      <c r="F413" s="8"/>
      <c r="G413" s="7"/>
      <c r="H413" s="7"/>
      <c r="I413" s="8"/>
      <c r="J413" s="9"/>
      <c r="K413" s="9"/>
      <c r="L413" s="7"/>
      <c r="M413" s="7"/>
      <c r="N413" s="8"/>
      <c r="O413" s="9"/>
      <c r="P413" s="9"/>
      <c r="Q413" s="9"/>
      <c r="R413" s="9"/>
      <c r="S413" s="8"/>
      <c r="T413" s="9" t="str">
        <f aca="false">IF(J413="","",EDATE(MAX(J413,K413,P413,Q413,R413),36))</f>
        <v/>
      </c>
      <c r="U413" s="9" t="str">
        <f aca="false">IF(OR(L413&lt;&gt;"Email",K413="",P413&lt;&gt;"",M413="Opposition",M413="Pas intéressé",M413="Client",M413="Rendez-vous pris",M413="Numéro erroné"),"",WORKDAY(K413,5))</f>
        <v/>
      </c>
      <c r="V413" s="9" t="str">
        <f aca="false">IF(OR(P413="",Q413&lt;&gt;"",M413="Opposition",M413="Pas intéressé",M413="Client",M413="Rendez-vous pris",M413="Numéro erroné"),"",WORKDAY(P413,7))</f>
        <v/>
      </c>
      <c r="W413" s="7" t="str">
        <f aca="true">IF(M413="Opposition","Ne pas contacter",IF(AND(U413&lt;&gt;"",U413&lt;=TODAY()),"Relance 1 à envoyer",IF(AND(V413&lt;&gt;"",V413&lt;=TODAY()),"Relance 2 à envoyer",IF(AND(O413&lt;&gt;"",O413&lt;=TODAY()),"Rappel à faire",""))))</f>
        <v/>
      </c>
    </row>
    <row r="414" customFormat="false" ht="15" hidden="false" customHeight="false" outlineLevel="0" collapsed="false">
      <c r="A414" s="7" t="n">
        <v>413</v>
      </c>
      <c r="B414" s="8"/>
      <c r="C414" s="8"/>
      <c r="D414" s="7"/>
      <c r="E414" s="7"/>
      <c r="F414" s="8"/>
      <c r="G414" s="7"/>
      <c r="H414" s="7"/>
      <c r="I414" s="8"/>
      <c r="J414" s="9"/>
      <c r="K414" s="9"/>
      <c r="L414" s="7"/>
      <c r="M414" s="7"/>
      <c r="N414" s="8"/>
      <c r="O414" s="9"/>
      <c r="P414" s="9"/>
      <c r="Q414" s="9"/>
      <c r="R414" s="9"/>
      <c r="S414" s="8"/>
      <c r="T414" s="9" t="str">
        <f aca="false">IF(J414="","",EDATE(MAX(J414,K414,P414,Q414,R414),36))</f>
        <v/>
      </c>
      <c r="U414" s="9" t="str">
        <f aca="false">IF(OR(L414&lt;&gt;"Email",K414="",P414&lt;&gt;"",M414="Opposition",M414="Pas intéressé",M414="Client",M414="Rendez-vous pris",M414="Numéro erroné"),"",WORKDAY(K414,5))</f>
        <v/>
      </c>
      <c r="V414" s="9" t="str">
        <f aca="false">IF(OR(P414="",Q414&lt;&gt;"",M414="Opposition",M414="Pas intéressé",M414="Client",M414="Rendez-vous pris",M414="Numéro erroné"),"",WORKDAY(P414,7))</f>
        <v/>
      </c>
      <c r="W414" s="7" t="str">
        <f aca="true">IF(M414="Opposition","Ne pas contacter",IF(AND(U414&lt;&gt;"",U414&lt;=TODAY()),"Relance 1 à envoyer",IF(AND(V414&lt;&gt;"",V414&lt;=TODAY()),"Relance 2 à envoyer",IF(AND(O414&lt;&gt;"",O414&lt;=TODAY()),"Rappel à faire",""))))</f>
        <v/>
      </c>
    </row>
    <row r="415" customFormat="false" ht="15" hidden="false" customHeight="false" outlineLevel="0" collapsed="false">
      <c r="A415" s="7" t="n">
        <v>414</v>
      </c>
      <c r="B415" s="8"/>
      <c r="C415" s="8"/>
      <c r="D415" s="7"/>
      <c r="E415" s="7"/>
      <c r="F415" s="8"/>
      <c r="G415" s="7"/>
      <c r="H415" s="7"/>
      <c r="I415" s="8"/>
      <c r="J415" s="9"/>
      <c r="K415" s="9"/>
      <c r="L415" s="7"/>
      <c r="M415" s="7"/>
      <c r="N415" s="8"/>
      <c r="O415" s="9"/>
      <c r="P415" s="9"/>
      <c r="Q415" s="9"/>
      <c r="R415" s="9"/>
      <c r="S415" s="8"/>
      <c r="T415" s="9" t="str">
        <f aca="false">IF(J415="","",EDATE(MAX(J415,K415,P415,Q415,R415),36))</f>
        <v/>
      </c>
      <c r="U415" s="9" t="str">
        <f aca="false">IF(OR(L415&lt;&gt;"Email",K415="",P415&lt;&gt;"",M415="Opposition",M415="Pas intéressé",M415="Client",M415="Rendez-vous pris",M415="Numéro erroné"),"",WORKDAY(K415,5))</f>
        <v/>
      </c>
      <c r="V415" s="9" t="str">
        <f aca="false">IF(OR(P415="",Q415&lt;&gt;"",M415="Opposition",M415="Pas intéressé",M415="Client",M415="Rendez-vous pris",M415="Numéro erroné"),"",WORKDAY(P415,7))</f>
        <v/>
      </c>
      <c r="W415" s="7" t="str">
        <f aca="true">IF(M415="Opposition","Ne pas contacter",IF(AND(U415&lt;&gt;"",U415&lt;=TODAY()),"Relance 1 à envoyer",IF(AND(V415&lt;&gt;"",V415&lt;=TODAY()),"Relance 2 à envoyer",IF(AND(O415&lt;&gt;"",O415&lt;=TODAY()),"Rappel à faire",""))))</f>
        <v/>
      </c>
    </row>
    <row r="416" customFormat="false" ht="15" hidden="false" customHeight="false" outlineLevel="0" collapsed="false">
      <c r="A416" s="7" t="n">
        <v>415</v>
      </c>
      <c r="B416" s="8"/>
      <c r="C416" s="8"/>
      <c r="D416" s="7"/>
      <c r="E416" s="7"/>
      <c r="F416" s="8"/>
      <c r="G416" s="7"/>
      <c r="H416" s="7"/>
      <c r="I416" s="8"/>
      <c r="J416" s="9"/>
      <c r="K416" s="9"/>
      <c r="L416" s="7"/>
      <c r="M416" s="7"/>
      <c r="N416" s="8"/>
      <c r="O416" s="9"/>
      <c r="P416" s="9"/>
      <c r="Q416" s="9"/>
      <c r="R416" s="9"/>
      <c r="S416" s="8"/>
      <c r="T416" s="9" t="str">
        <f aca="false">IF(J416="","",EDATE(MAX(J416,K416,P416,Q416,R416),36))</f>
        <v/>
      </c>
      <c r="U416" s="9" t="str">
        <f aca="false">IF(OR(L416&lt;&gt;"Email",K416="",P416&lt;&gt;"",M416="Opposition",M416="Pas intéressé",M416="Client",M416="Rendez-vous pris",M416="Numéro erroné"),"",WORKDAY(K416,5))</f>
        <v/>
      </c>
      <c r="V416" s="9" t="str">
        <f aca="false">IF(OR(P416="",Q416&lt;&gt;"",M416="Opposition",M416="Pas intéressé",M416="Client",M416="Rendez-vous pris",M416="Numéro erroné"),"",WORKDAY(P416,7))</f>
        <v/>
      </c>
      <c r="W416" s="7" t="str">
        <f aca="true">IF(M416="Opposition","Ne pas contacter",IF(AND(U416&lt;&gt;"",U416&lt;=TODAY()),"Relance 1 à envoyer",IF(AND(V416&lt;&gt;"",V416&lt;=TODAY()),"Relance 2 à envoyer",IF(AND(O416&lt;&gt;"",O416&lt;=TODAY()),"Rappel à faire",""))))</f>
        <v/>
      </c>
    </row>
    <row r="417" customFormat="false" ht="15" hidden="false" customHeight="false" outlineLevel="0" collapsed="false">
      <c r="A417" s="7" t="n">
        <v>416</v>
      </c>
      <c r="B417" s="8"/>
      <c r="C417" s="8"/>
      <c r="D417" s="7"/>
      <c r="E417" s="7"/>
      <c r="F417" s="8"/>
      <c r="G417" s="7"/>
      <c r="H417" s="7"/>
      <c r="I417" s="8"/>
      <c r="J417" s="9"/>
      <c r="K417" s="9"/>
      <c r="L417" s="7"/>
      <c r="M417" s="7"/>
      <c r="N417" s="8"/>
      <c r="O417" s="9"/>
      <c r="P417" s="9"/>
      <c r="Q417" s="9"/>
      <c r="R417" s="9"/>
      <c r="S417" s="8"/>
      <c r="T417" s="9" t="str">
        <f aca="false">IF(J417="","",EDATE(MAX(J417,K417,P417,Q417,R417),36))</f>
        <v/>
      </c>
      <c r="U417" s="9" t="str">
        <f aca="false">IF(OR(L417&lt;&gt;"Email",K417="",P417&lt;&gt;"",M417="Opposition",M417="Pas intéressé",M417="Client",M417="Rendez-vous pris",M417="Numéro erroné"),"",WORKDAY(K417,5))</f>
        <v/>
      </c>
      <c r="V417" s="9" t="str">
        <f aca="false">IF(OR(P417="",Q417&lt;&gt;"",M417="Opposition",M417="Pas intéressé",M417="Client",M417="Rendez-vous pris",M417="Numéro erroné"),"",WORKDAY(P417,7))</f>
        <v/>
      </c>
      <c r="W417" s="7" t="str">
        <f aca="true">IF(M417="Opposition","Ne pas contacter",IF(AND(U417&lt;&gt;"",U417&lt;=TODAY()),"Relance 1 à envoyer",IF(AND(V417&lt;&gt;"",V417&lt;=TODAY()),"Relance 2 à envoyer",IF(AND(O417&lt;&gt;"",O417&lt;=TODAY()),"Rappel à faire",""))))</f>
        <v/>
      </c>
    </row>
    <row r="418" customFormat="false" ht="15" hidden="false" customHeight="false" outlineLevel="0" collapsed="false">
      <c r="A418" s="7" t="n">
        <v>417</v>
      </c>
      <c r="B418" s="8"/>
      <c r="C418" s="8"/>
      <c r="D418" s="7"/>
      <c r="E418" s="7"/>
      <c r="F418" s="8"/>
      <c r="G418" s="7"/>
      <c r="H418" s="7"/>
      <c r="I418" s="8"/>
      <c r="J418" s="9"/>
      <c r="K418" s="9"/>
      <c r="L418" s="7"/>
      <c r="M418" s="7"/>
      <c r="N418" s="8"/>
      <c r="O418" s="9"/>
      <c r="P418" s="9"/>
      <c r="Q418" s="9"/>
      <c r="R418" s="9"/>
      <c r="S418" s="8"/>
      <c r="T418" s="9" t="str">
        <f aca="false">IF(J418="","",EDATE(MAX(J418,K418,P418,Q418,R418),36))</f>
        <v/>
      </c>
      <c r="U418" s="9" t="str">
        <f aca="false">IF(OR(L418&lt;&gt;"Email",K418="",P418&lt;&gt;"",M418="Opposition",M418="Pas intéressé",M418="Client",M418="Rendez-vous pris",M418="Numéro erroné"),"",WORKDAY(K418,5))</f>
        <v/>
      </c>
      <c r="V418" s="9" t="str">
        <f aca="false">IF(OR(P418="",Q418&lt;&gt;"",M418="Opposition",M418="Pas intéressé",M418="Client",M418="Rendez-vous pris",M418="Numéro erroné"),"",WORKDAY(P418,7))</f>
        <v/>
      </c>
      <c r="W418" s="7" t="str">
        <f aca="true">IF(M418="Opposition","Ne pas contacter",IF(AND(U418&lt;&gt;"",U418&lt;=TODAY()),"Relance 1 à envoyer",IF(AND(V418&lt;&gt;"",V418&lt;=TODAY()),"Relance 2 à envoyer",IF(AND(O418&lt;&gt;"",O418&lt;=TODAY()),"Rappel à faire",""))))</f>
        <v/>
      </c>
    </row>
    <row r="419" customFormat="false" ht="15" hidden="false" customHeight="false" outlineLevel="0" collapsed="false">
      <c r="A419" s="7" t="n">
        <v>418</v>
      </c>
      <c r="B419" s="8"/>
      <c r="C419" s="8"/>
      <c r="D419" s="7"/>
      <c r="E419" s="7"/>
      <c r="F419" s="8"/>
      <c r="G419" s="7"/>
      <c r="H419" s="7"/>
      <c r="I419" s="8"/>
      <c r="J419" s="9"/>
      <c r="K419" s="9"/>
      <c r="L419" s="7"/>
      <c r="M419" s="7"/>
      <c r="N419" s="8"/>
      <c r="O419" s="9"/>
      <c r="P419" s="9"/>
      <c r="Q419" s="9"/>
      <c r="R419" s="9"/>
      <c r="S419" s="8"/>
      <c r="T419" s="9" t="str">
        <f aca="false">IF(J419="","",EDATE(MAX(J419,K419,P419,Q419,R419),36))</f>
        <v/>
      </c>
      <c r="U419" s="9" t="str">
        <f aca="false">IF(OR(L419&lt;&gt;"Email",K419="",P419&lt;&gt;"",M419="Opposition",M419="Pas intéressé",M419="Client",M419="Rendez-vous pris",M419="Numéro erroné"),"",WORKDAY(K419,5))</f>
        <v/>
      </c>
      <c r="V419" s="9" t="str">
        <f aca="false">IF(OR(P419="",Q419&lt;&gt;"",M419="Opposition",M419="Pas intéressé",M419="Client",M419="Rendez-vous pris",M419="Numéro erroné"),"",WORKDAY(P419,7))</f>
        <v/>
      </c>
      <c r="W419" s="7" t="str">
        <f aca="true">IF(M419="Opposition","Ne pas contacter",IF(AND(U419&lt;&gt;"",U419&lt;=TODAY()),"Relance 1 à envoyer",IF(AND(V419&lt;&gt;"",V419&lt;=TODAY()),"Relance 2 à envoyer",IF(AND(O419&lt;&gt;"",O419&lt;=TODAY()),"Rappel à faire",""))))</f>
        <v/>
      </c>
    </row>
    <row r="420" customFormat="false" ht="15" hidden="false" customHeight="false" outlineLevel="0" collapsed="false">
      <c r="A420" s="7" t="n">
        <v>419</v>
      </c>
      <c r="B420" s="8"/>
      <c r="C420" s="8"/>
      <c r="D420" s="7"/>
      <c r="E420" s="7"/>
      <c r="F420" s="8"/>
      <c r="G420" s="7"/>
      <c r="H420" s="7"/>
      <c r="I420" s="8"/>
      <c r="J420" s="9"/>
      <c r="K420" s="9"/>
      <c r="L420" s="7"/>
      <c r="M420" s="7"/>
      <c r="N420" s="8"/>
      <c r="O420" s="9"/>
      <c r="P420" s="9"/>
      <c r="Q420" s="9"/>
      <c r="R420" s="9"/>
      <c r="S420" s="8"/>
      <c r="T420" s="9" t="str">
        <f aca="false">IF(J420="","",EDATE(MAX(J420,K420,P420,Q420,R420),36))</f>
        <v/>
      </c>
      <c r="U420" s="9" t="str">
        <f aca="false">IF(OR(L420&lt;&gt;"Email",K420="",P420&lt;&gt;"",M420="Opposition",M420="Pas intéressé",M420="Client",M420="Rendez-vous pris",M420="Numéro erroné"),"",WORKDAY(K420,5))</f>
        <v/>
      </c>
      <c r="V420" s="9" t="str">
        <f aca="false">IF(OR(P420="",Q420&lt;&gt;"",M420="Opposition",M420="Pas intéressé",M420="Client",M420="Rendez-vous pris",M420="Numéro erroné"),"",WORKDAY(P420,7))</f>
        <v/>
      </c>
      <c r="W420" s="7" t="str">
        <f aca="true">IF(M420="Opposition","Ne pas contacter",IF(AND(U420&lt;&gt;"",U420&lt;=TODAY()),"Relance 1 à envoyer",IF(AND(V420&lt;&gt;"",V420&lt;=TODAY()),"Relance 2 à envoyer",IF(AND(O420&lt;&gt;"",O420&lt;=TODAY()),"Rappel à faire",""))))</f>
        <v/>
      </c>
    </row>
    <row r="421" customFormat="false" ht="15" hidden="false" customHeight="false" outlineLevel="0" collapsed="false">
      <c r="A421" s="7" t="n">
        <v>420</v>
      </c>
      <c r="B421" s="8"/>
      <c r="C421" s="8"/>
      <c r="D421" s="7"/>
      <c r="E421" s="7"/>
      <c r="F421" s="8"/>
      <c r="G421" s="7"/>
      <c r="H421" s="7"/>
      <c r="I421" s="8"/>
      <c r="J421" s="9"/>
      <c r="K421" s="9"/>
      <c r="L421" s="7"/>
      <c r="M421" s="7"/>
      <c r="N421" s="8"/>
      <c r="O421" s="9"/>
      <c r="P421" s="9"/>
      <c r="Q421" s="9"/>
      <c r="R421" s="9"/>
      <c r="S421" s="8"/>
      <c r="T421" s="9" t="str">
        <f aca="false">IF(J421="","",EDATE(MAX(J421,K421,P421,Q421,R421),36))</f>
        <v/>
      </c>
      <c r="U421" s="9" t="str">
        <f aca="false">IF(OR(L421&lt;&gt;"Email",K421="",P421&lt;&gt;"",M421="Opposition",M421="Pas intéressé",M421="Client",M421="Rendez-vous pris",M421="Numéro erroné"),"",WORKDAY(K421,5))</f>
        <v/>
      </c>
      <c r="V421" s="9" t="str">
        <f aca="false">IF(OR(P421="",Q421&lt;&gt;"",M421="Opposition",M421="Pas intéressé",M421="Client",M421="Rendez-vous pris",M421="Numéro erroné"),"",WORKDAY(P421,7))</f>
        <v/>
      </c>
      <c r="W421" s="7" t="str">
        <f aca="true">IF(M421="Opposition","Ne pas contacter",IF(AND(U421&lt;&gt;"",U421&lt;=TODAY()),"Relance 1 à envoyer",IF(AND(V421&lt;&gt;"",V421&lt;=TODAY()),"Relance 2 à envoyer",IF(AND(O421&lt;&gt;"",O421&lt;=TODAY()),"Rappel à faire",""))))</f>
        <v/>
      </c>
    </row>
    <row r="422" customFormat="false" ht="15" hidden="false" customHeight="false" outlineLevel="0" collapsed="false">
      <c r="A422" s="7" t="n">
        <v>421</v>
      </c>
      <c r="B422" s="8"/>
      <c r="C422" s="8"/>
      <c r="D422" s="7"/>
      <c r="E422" s="7"/>
      <c r="F422" s="8"/>
      <c r="G422" s="7"/>
      <c r="H422" s="7"/>
      <c r="I422" s="8"/>
      <c r="J422" s="9"/>
      <c r="K422" s="9"/>
      <c r="L422" s="7"/>
      <c r="M422" s="7"/>
      <c r="N422" s="8"/>
      <c r="O422" s="9"/>
      <c r="P422" s="9"/>
      <c r="Q422" s="9"/>
      <c r="R422" s="9"/>
      <c r="S422" s="8"/>
      <c r="T422" s="9" t="str">
        <f aca="false">IF(J422="","",EDATE(MAX(J422,K422,P422,Q422,R422),36))</f>
        <v/>
      </c>
      <c r="U422" s="9" t="str">
        <f aca="false">IF(OR(L422&lt;&gt;"Email",K422="",P422&lt;&gt;"",M422="Opposition",M422="Pas intéressé",M422="Client",M422="Rendez-vous pris",M422="Numéro erroné"),"",WORKDAY(K422,5))</f>
        <v/>
      </c>
      <c r="V422" s="9" t="str">
        <f aca="false">IF(OR(P422="",Q422&lt;&gt;"",M422="Opposition",M422="Pas intéressé",M422="Client",M422="Rendez-vous pris",M422="Numéro erroné"),"",WORKDAY(P422,7))</f>
        <v/>
      </c>
      <c r="W422" s="7" t="str">
        <f aca="true">IF(M422="Opposition","Ne pas contacter",IF(AND(U422&lt;&gt;"",U422&lt;=TODAY()),"Relance 1 à envoyer",IF(AND(V422&lt;&gt;"",V422&lt;=TODAY()),"Relance 2 à envoyer",IF(AND(O422&lt;&gt;"",O422&lt;=TODAY()),"Rappel à faire",""))))</f>
        <v/>
      </c>
    </row>
    <row r="423" customFormat="false" ht="15" hidden="false" customHeight="false" outlineLevel="0" collapsed="false">
      <c r="A423" s="7" t="n">
        <v>422</v>
      </c>
      <c r="B423" s="8"/>
      <c r="C423" s="8"/>
      <c r="D423" s="7"/>
      <c r="E423" s="7"/>
      <c r="F423" s="8"/>
      <c r="G423" s="7"/>
      <c r="H423" s="7"/>
      <c r="I423" s="8"/>
      <c r="J423" s="9"/>
      <c r="K423" s="9"/>
      <c r="L423" s="7"/>
      <c r="M423" s="7"/>
      <c r="N423" s="8"/>
      <c r="O423" s="9"/>
      <c r="P423" s="9"/>
      <c r="Q423" s="9"/>
      <c r="R423" s="9"/>
      <c r="S423" s="8"/>
      <c r="T423" s="9" t="str">
        <f aca="false">IF(J423="","",EDATE(MAX(J423,K423,P423,Q423,R423),36))</f>
        <v/>
      </c>
      <c r="U423" s="9" t="str">
        <f aca="false">IF(OR(L423&lt;&gt;"Email",K423="",P423&lt;&gt;"",M423="Opposition",M423="Pas intéressé",M423="Client",M423="Rendez-vous pris",M423="Numéro erroné"),"",WORKDAY(K423,5))</f>
        <v/>
      </c>
      <c r="V423" s="9" t="str">
        <f aca="false">IF(OR(P423="",Q423&lt;&gt;"",M423="Opposition",M423="Pas intéressé",M423="Client",M423="Rendez-vous pris",M423="Numéro erroné"),"",WORKDAY(P423,7))</f>
        <v/>
      </c>
      <c r="W423" s="7" t="str">
        <f aca="true">IF(M423="Opposition","Ne pas contacter",IF(AND(U423&lt;&gt;"",U423&lt;=TODAY()),"Relance 1 à envoyer",IF(AND(V423&lt;&gt;"",V423&lt;=TODAY()),"Relance 2 à envoyer",IF(AND(O423&lt;&gt;"",O423&lt;=TODAY()),"Rappel à faire",""))))</f>
        <v/>
      </c>
    </row>
    <row r="424" customFormat="false" ht="15" hidden="false" customHeight="false" outlineLevel="0" collapsed="false">
      <c r="A424" s="7" t="n">
        <v>423</v>
      </c>
      <c r="B424" s="8"/>
      <c r="C424" s="8"/>
      <c r="D424" s="7"/>
      <c r="E424" s="7"/>
      <c r="F424" s="8"/>
      <c r="G424" s="7"/>
      <c r="H424" s="7"/>
      <c r="I424" s="8"/>
      <c r="J424" s="9"/>
      <c r="K424" s="9"/>
      <c r="L424" s="7"/>
      <c r="M424" s="7"/>
      <c r="N424" s="8"/>
      <c r="O424" s="9"/>
      <c r="P424" s="9"/>
      <c r="Q424" s="9"/>
      <c r="R424" s="9"/>
      <c r="S424" s="8"/>
      <c r="T424" s="9" t="str">
        <f aca="false">IF(J424="","",EDATE(MAX(J424,K424,P424,Q424,R424),36))</f>
        <v/>
      </c>
      <c r="U424" s="9" t="str">
        <f aca="false">IF(OR(L424&lt;&gt;"Email",K424="",P424&lt;&gt;"",M424="Opposition",M424="Pas intéressé",M424="Client",M424="Rendez-vous pris",M424="Numéro erroné"),"",WORKDAY(K424,5))</f>
        <v/>
      </c>
      <c r="V424" s="9" t="str">
        <f aca="false">IF(OR(P424="",Q424&lt;&gt;"",M424="Opposition",M424="Pas intéressé",M424="Client",M424="Rendez-vous pris",M424="Numéro erroné"),"",WORKDAY(P424,7))</f>
        <v/>
      </c>
      <c r="W424" s="7" t="str">
        <f aca="true">IF(M424="Opposition","Ne pas contacter",IF(AND(U424&lt;&gt;"",U424&lt;=TODAY()),"Relance 1 à envoyer",IF(AND(V424&lt;&gt;"",V424&lt;=TODAY()),"Relance 2 à envoyer",IF(AND(O424&lt;&gt;"",O424&lt;=TODAY()),"Rappel à faire",""))))</f>
        <v/>
      </c>
    </row>
    <row r="425" customFormat="false" ht="15" hidden="false" customHeight="false" outlineLevel="0" collapsed="false">
      <c r="A425" s="7" t="n">
        <v>424</v>
      </c>
      <c r="B425" s="8"/>
      <c r="C425" s="8"/>
      <c r="D425" s="7"/>
      <c r="E425" s="7"/>
      <c r="F425" s="8"/>
      <c r="G425" s="7"/>
      <c r="H425" s="7"/>
      <c r="I425" s="8"/>
      <c r="J425" s="9"/>
      <c r="K425" s="9"/>
      <c r="L425" s="7"/>
      <c r="M425" s="7"/>
      <c r="N425" s="8"/>
      <c r="O425" s="9"/>
      <c r="P425" s="9"/>
      <c r="Q425" s="9"/>
      <c r="R425" s="9"/>
      <c r="S425" s="8"/>
      <c r="T425" s="9" t="str">
        <f aca="false">IF(J425="","",EDATE(MAX(J425,K425,P425,Q425,R425),36))</f>
        <v/>
      </c>
      <c r="U425" s="9" t="str">
        <f aca="false">IF(OR(L425&lt;&gt;"Email",K425="",P425&lt;&gt;"",M425="Opposition",M425="Pas intéressé",M425="Client",M425="Rendez-vous pris",M425="Numéro erroné"),"",WORKDAY(K425,5))</f>
        <v/>
      </c>
      <c r="V425" s="9" t="str">
        <f aca="false">IF(OR(P425="",Q425&lt;&gt;"",M425="Opposition",M425="Pas intéressé",M425="Client",M425="Rendez-vous pris",M425="Numéro erroné"),"",WORKDAY(P425,7))</f>
        <v/>
      </c>
      <c r="W425" s="7" t="str">
        <f aca="true">IF(M425="Opposition","Ne pas contacter",IF(AND(U425&lt;&gt;"",U425&lt;=TODAY()),"Relance 1 à envoyer",IF(AND(V425&lt;&gt;"",V425&lt;=TODAY()),"Relance 2 à envoyer",IF(AND(O425&lt;&gt;"",O425&lt;=TODAY()),"Rappel à faire",""))))</f>
        <v/>
      </c>
    </row>
    <row r="426" customFormat="false" ht="15" hidden="false" customHeight="false" outlineLevel="0" collapsed="false">
      <c r="A426" s="7" t="n">
        <v>425</v>
      </c>
      <c r="B426" s="8"/>
      <c r="C426" s="8"/>
      <c r="D426" s="7"/>
      <c r="E426" s="7"/>
      <c r="F426" s="8"/>
      <c r="G426" s="7"/>
      <c r="H426" s="7"/>
      <c r="I426" s="8"/>
      <c r="J426" s="9"/>
      <c r="K426" s="9"/>
      <c r="L426" s="7"/>
      <c r="M426" s="7"/>
      <c r="N426" s="8"/>
      <c r="O426" s="9"/>
      <c r="P426" s="9"/>
      <c r="Q426" s="9"/>
      <c r="R426" s="9"/>
      <c r="S426" s="8"/>
      <c r="T426" s="9" t="str">
        <f aca="false">IF(J426="","",EDATE(MAX(J426,K426,P426,Q426,R426),36))</f>
        <v/>
      </c>
      <c r="U426" s="9" t="str">
        <f aca="false">IF(OR(L426&lt;&gt;"Email",K426="",P426&lt;&gt;"",M426="Opposition",M426="Pas intéressé",M426="Client",M426="Rendez-vous pris",M426="Numéro erroné"),"",WORKDAY(K426,5))</f>
        <v/>
      </c>
      <c r="V426" s="9" t="str">
        <f aca="false">IF(OR(P426="",Q426&lt;&gt;"",M426="Opposition",M426="Pas intéressé",M426="Client",M426="Rendez-vous pris",M426="Numéro erroné"),"",WORKDAY(P426,7))</f>
        <v/>
      </c>
      <c r="W426" s="7" t="str">
        <f aca="true">IF(M426="Opposition","Ne pas contacter",IF(AND(U426&lt;&gt;"",U426&lt;=TODAY()),"Relance 1 à envoyer",IF(AND(V426&lt;&gt;"",V426&lt;=TODAY()),"Relance 2 à envoyer",IF(AND(O426&lt;&gt;"",O426&lt;=TODAY()),"Rappel à faire",""))))</f>
        <v/>
      </c>
    </row>
    <row r="427" customFormat="false" ht="15" hidden="false" customHeight="false" outlineLevel="0" collapsed="false">
      <c r="A427" s="7" t="n">
        <v>426</v>
      </c>
      <c r="B427" s="8"/>
      <c r="C427" s="8"/>
      <c r="D427" s="7"/>
      <c r="E427" s="7"/>
      <c r="F427" s="8"/>
      <c r="G427" s="7"/>
      <c r="H427" s="7"/>
      <c r="I427" s="8"/>
      <c r="J427" s="9"/>
      <c r="K427" s="9"/>
      <c r="L427" s="7"/>
      <c r="M427" s="7"/>
      <c r="N427" s="8"/>
      <c r="O427" s="9"/>
      <c r="P427" s="9"/>
      <c r="Q427" s="9"/>
      <c r="R427" s="9"/>
      <c r="S427" s="8"/>
      <c r="T427" s="9" t="str">
        <f aca="false">IF(J427="","",EDATE(MAX(J427,K427,P427,Q427,R427),36))</f>
        <v/>
      </c>
      <c r="U427" s="9" t="str">
        <f aca="false">IF(OR(L427&lt;&gt;"Email",K427="",P427&lt;&gt;"",M427="Opposition",M427="Pas intéressé",M427="Client",M427="Rendez-vous pris",M427="Numéro erroné"),"",WORKDAY(K427,5))</f>
        <v/>
      </c>
      <c r="V427" s="9" t="str">
        <f aca="false">IF(OR(P427="",Q427&lt;&gt;"",M427="Opposition",M427="Pas intéressé",M427="Client",M427="Rendez-vous pris",M427="Numéro erroné"),"",WORKDAY(P427,7))</f>
        <v/>
      </c>
      <c r="W427" s="7" t="str">
        <f aca="true">IF(M427="Opposition","Ne pas contacter",IF(AND(U427&lt;&gt;"",U427&lt;=TODAY()),"Relance 1 à envoyer",IF(AND(V427&lt;&gt;"",V427&lt;=TODAY()),"Relance 2 à envoyer",IF(AND(O427&lt;&gt;"",O427&lt;=TODAY()),"Rappel à faire",""))))</f>
        <v/>
      </c>
    </row>
    <row r="428" customFormat="false" ht="15" hidden="false" customHeight="false" outlineLevel="0" collapsed="false">
      <c r="A428" s="7" t="n">
        <v>427</v>
      </c>
      <c r="B428" s="8"/>
      <c r="C428" s="8"/>
      <c r="D428" s="7"/>
      <c r="E428" s="7"/>
      <c r="F428" s="8"/>
      <c r="G428" s="7"/>
      <c r="H428" s="7"/>
      <c r="I428" s="8"/>
      <c r="J428" s="9"/>
      <c r="K428" s="9"/>
      <c r="L428" s="7"/>
      <c r="M428" s="7"/>
      <c r="N428" s="8"/>
      <c r="O428" s="9"/>
      <c r="P428" s="9"/>
      <c r="Q428" s="9"/>
      <c r="R428" s="9"/>
      <c r="S428" s="8"/>
      <c r="T428" s="9" t="str">
        <f aca="false">IF(J428="","",EDATE(MAX(J428,K428,P428,Q428,R428),36))</f>
        <v/>
      </c>
      <c r="U428" s="9" t="str">
        <f aca="false">IF(OR(L428&lt;&gt;"Email",K428="",P428&lt;&gt;"",M428="Opposition",M428="Pas intéressé",M428="Client",M428="Rendez-vous pris",M428="Numéro erroné"),"",WORKDAY(K428,5))</f>
        <v/>
      </c>
      <c r="V428" s="9" t="str">
        <f aca="false">IF(OR(P428="",Q428&lt;&gt;"",M428="Opposition",M428="Pas intéressé",M428="Client",M428="Rendez-vous pris",M428="Numéro erroné"),"",WORKDAY(P428,7))</f>
        <v/>
      </c>
      <c r="W428" s="7" t="str">
        <f aca="true">IF(M428="Opposition","Ne pas contacter",IF(AND(U428&lt;&gt;"",U428&lt;=TODAY()),"Relance 1 à envoyer",IF(AND(V428&lt;&gt;"",V428&lt;=TODAY()),"Relance 2 à envoyer",IF(AND(O428&lt;&gt;"",O428&lt;=TODAY()),"Rappel à faire",""))))</f>
        <v/>
      </c>
    </row>
    <row r="429" customFormat="false" ht="15" hidden="false" customHeight="false" outlineLevel="0" collapsed="false">
      <c r="A429" s="7" t="n">
        <v>428</v>
      </c>
      <c r="B429" s="8"/>
      <c r="C429" s="8"/>
      <c r="D429" s="7"/>
      <c r="E429" s="7"/>
      <c r="F429" s="8"/>
      <c r="G429" s="7"/>
      <c r="H429" s="7"/>
      <c r="I429" s="8"/>
      <c r="J429" s="9"/>
      <c r="K429" s="9"/>
      <c r="L429" s="7"/>
      <c r="M429" s="7"/>
      <c r="N429" s="8"/>
      <c r="O429" s="9"/>
      <c r="P429" s="9"/>
      <c r="Q429" s="9"/>
      <c r="R429" s="9"/>
      <c r="S429" s="8"/>
      <c r="T429" s="9" t="str">
        <f aca="false">IF(J429="","",EDATE(MAX(J429,K429,P429,Q429,R429),36))</f>
        <v/>
      </c>
      <c r="U429" s="9" t="str">
        <f aca="false">IF(OR(L429&lt;&gt;"Email",K429="",P429&lt;&gt;"",M429="Opposition",M429="Pas intéressé",M429="Client",M429="Rendez-vous pris",M429="Numéro erroné"),"",WORKDAY(K429,5))</f>
        <v/>
      </c>
      <c r="V429" s="9" t="str">
        <f aca="false">IF(OR(P429="",Q429&lt;&gt;"",M429="Opposition",M429="Pas intéressé",M429="Client",M429="Rendez-vous pris",M429="Numéro erroné"),"",WORKDAY(P429,7))</f>
        <v/>
      </c>
      <c r="W429" s="7" t="str">
        <f aca="true">IF(M429="Opposition","Ne pas contacter",IF(AND(U429&lt;&gt;"",U429&lt;=TODAY()),"Relance 1 à envoyer",IF(AND(V429&lt;&gt;"",V429&lt;=TODAY()),"Relance 2 à envoyer",IF(AND(O429&lt;&gt;"",O429&lt;=TODAY()),"Rappel à faire",""))))</f>
        <v/>
      </c>
    </row>
    <row r="430" customFormat="false" ht="15" hidden="false" customHeight="false" outlineLevel="0" collapsed="false">
      <c r="A430" s="7" t="n">
        <v>429</v>
      </c>
      <c r="B430" s="8"/>
      <c r="C430" s="8"/>
      <c r="D430" s="7"/>
      <c r="E430" s="7"/>
      <c r="F430" s="8"/>
      <c r="G430" s="7"/>
      <c r="H430" s="7"/>
      <c r="I430" s="8"/>
      <c r="J430" s="9"/>
      <c r="K430" s="9"/>
      <c r="L430" s="7"/>
      <c r="M430" s="7"/>
      <c r="N430" s="8"/>
      <c r="O430" s="9"/>
      <c r="P430" s="9"/>
      <c r="Q430" s="9"/>
      <c r="R430" s="9"/>
      <c r="S430" s="8"/>
      <c r="T430" s="9" t="str">
        <f aca="false">IF(J430="","",EDATE(MAX(J430,K430,P430,Q430,R430),36))</f>
        <v/>
      </c>
      <c r="U430" s="9" t="str">
        <f aca="false">IF(OR(L430&lt;&gt;"Email",K430="",P430&lt;&gt;"",M430="Opposition",M430="Pas intéressé",M430="Client",M430="Rendez-vous pris",M430="Numéro erroné"),"",WORKDAY(K430,5))</f>
        <v/>
      </c>
      <c r="V430" s="9" t="str">
        <f aca="false">IF(OR(P430="",Q430&lt;&gt;"",M430="Opposition",M430="Pas intéressé",M430="Client",M430="Rendez-vous pris",M430="Numéro erroné"),"",WORKDAY(P430,7))</f>
        <v/>
      </c>
      <c r="W430" s="7" t="str">
        <f aca="true">IF(M430="Opposition","Ne pas contacter",IF(AND(U430&lt;&gt;"",U430&lt;=TODAY()),"Relance 1 à envoyer",IF(AND(V430&lt;&gt;"",V430&lt;=TODAY()),"Relance 2 à envoyer",IF(AND(O430&lt;&gt;"",O430&lt;=TODAY()),"Rappel à faire",""))))</f>
        <v/>
      </c>
    </row>
    <row r="431" customFormat="false" ht="15" hidden="false" customHeight="false" outlineLevel="0" collapsed="false">
      <c r="A431" s="7" t="n">
        <v>430</v>
      </c>
      <c r="B431" s="8"/>
      <c r="C431" s="8"/>
      <c r="D431" s="7"/>
      <c r="E431" s="7"/>
      <c r="F431" s="8"/>
      <c r="G431" s="7"/>
      <c r="H431" s="7"/>
      <c r="I431" s="8"/>
      <c r="J431" s="9"/>
      <c r="K431" s="9"/>
      <c r="L431" s="7"/>
      <c r="M431" s="7"/>
      <c r="N431" s="8"/>
      <c r="O431" s="9"/>
      <c r="P431" s="9"/>
      <c r="Q431" s="9"/>
      <c r="R431" s="9"/>
      <c r="S431" s="8"/>
      <c r="T431" s="9" t="str">
        <f aca="false">IF(J431="","",EDATE(MAX(J431,K431,P431,Q431,R431),36))</f>
        <v/>
      </c>
      <c r="U431" s="9" t="str">
        <f aca="false">IF(OR(L431&lt;&gt;"Email",K431="",P431&lt;&gt;"",M431="Opposition",M431="Pas intéressé",M431="Client",M431="Rendez-vous pris",M431="Numéro erroné"),"",WORKDAY(K431,5))</f>
        <v/>
      </c>
      <c r="V431" s="9" t="str">
        <f aca="false">IF(OR(P431="",Q431&lt;&gt;"",M431="Opposition",M431="Pas intéressé",M431="Client",M431="Rendez-vous pris",M431="Numéro erroné"),"",WORKDAY(P431,7))</f>
        <v/>
      </c>
      <c r="W431" s="7" t="str">
        <f aca="true">IF(M431="Opposition","Ne pas contacter",IF(AND(U431&lt;&gt;"",U431&lt;=TODAY()),"Relance 1 à envoyer",IF(AND(V431&lt;&gt;"",V431&lt;=TODAY()),"Relance 2 à envoyer",IF(AND(O431&lt;&gt;"",O431&lt;=TODAY()),"Rappel à faire",""))))</f>
        <v/>
      </c>
    </row>
    <row r="432" customFormat="false" ht="15" hidden="false" customHeight="false" outlineLevel="0" collapsed="false">
      <c r="A432" s="7" t="n">
        <v>431</v>
      </c>
      <c r="B432" s="8"/>
      <c r="C432" s="8"/>
      <c r="D432" s="7"/>
      <c r="E432" s="7"/>
      <c r="F432" s="8"/>
      <c r="G432" s="7"/>
      <c r="H432" s="7"/>
      <c r="I432" s="8"/>
      <c r="J432" s="9"/>
      <c r="K432" s="9"/>
      <c r="L432" s="7"/>
      <c r="M432" s="7"/>
      <c r="N432" s="8"/>
      <c r="O432" s="9"/>
      <c r="P432" s="9"/>
      <c r="Q432" s="9"/>
      <c r="R432" s="9"/>
      <c r="S432" s="8"/>
      <c r="T432" s="9" t="str">
        <f aca="false">IF(J432="","",EDATE(MAX(J432,K432,P432,Q432,R432),36))</f>
        <v/>
      </c>
      <c r="U432" s="9" t="str">
        <f aca="false">IF(OR(L432&lt;&gt;"Email",K432="",P432&lt;&gt;"",M432="Opposition",M432="Pas intéressé",M432="Client",M432="Rendez-vous pris",M432="Numéro erroné"),"",WORKDAY(K432,5))</f>
        <v/>
      </c>
      <c r="V432" s="9" t="str">
        <f aca="false">IF(OR(P432="",Q432&lt;&gt;"",M432="Opposition",M432="Pas intéressé",M432="Client",M432="Rendez-vous pris",M432="Numéro erroné"),"",WORKDAY(P432,7))</f>
        <v/>
      </c>
      <c r="W432" s="7" t="str">
        <f aca="true">IF(M432="Opposition","Ne pas contacter",IF(AND(U432&lt;&gt;"",U432&lt;=TODAY()),"Relance 1 à envoyer",IF(AND(V432&lt;&gt;"",V432&lt;=TODAY()),"Relance 2 à envoyer",IF(AND(O432&lt;&gt;"",O432&lt;=TODAY()),"Rappel à faire",""))))</f>
        <v/>
      </c>
    </row>
    <row r="433" customFormat="false" ht="15" hidden="false" customHeight="false" outlineLevel="0" collapsed="false">
      <c r="A433" s="7" t="n">
        <v>432</v>
      </c>
      <c r="B433" s="8"/>
      <c r="C433" s="8"/>
      <c r="D433" s="7"/>
      <c r="E433" s="7"/>
      <c r="F433" s="8"/>
      <c r="G433" s="7"/>
      <c r="H433" s="7"/>
      <c r="I433" s="8"/>
      <c r="J433" s="9"/>
      <c r="K433" s="9"/>
      <c r="L433" s="7"/>
      <c r="M433" s="7"/>
      <c r="N433" s="8"/>
      <c r="O433" s="9"/>
      <c r="P433" s="9"/>
      <c r="Q433" s="9"/>
      <c r="R433" s="9"/>
      <c r="S433" s="8"/>
      <c r="T433" s="9" t="str">
        <f aca="false">IF(J433="","",EDATE(MAX(J433,K433,P433,Q433,R433),36))</f>
        <v/>
      </c>
      <c r="U433" s="9" t="str">
        <f aca="false">IF(OR(L433&lt;&gt;"Email",K433="",P433&lt;&gt;"",M433="Opposition",M433="Pas intéressé",M433="Client",M433="Rendez-vous pris",M433="Numéro erroné"),"",WORKDAY(K433,5))</f>
        <v/>
      </c>
      <c r="V433" s="9" t="str">
        <f aca="false">IF(OR(P433="",Q433&lt;&gt;"",M433="Opposition",M433="Pas intéressé",M433="Client",M433="Rendez-vous pris",M433="Numéro erroné"),"",WORKDAY(P433,7))</f>
        <v/>
      </c>
      <c r="W433" s="7" t="str">
        <f aca="true">IF(M433="Opposition","Ne pas contacter",IF(AND(U433&lt;&gt;"",U433&lt;=TODAY()),"Relance 1 à envoyer",IF(AND(V433&lt;&gt;"",V433&lt;=TODAY()),"Relance 2 à envoyer",IF(AND(O433&lt;&gt;"",O433&lt;=TODAY()),"Rappel à faire",""))))</f>
        <v/>
      </c>
    </row>
    <row r="434" customFormat="false" ht="15" hidden="false" customHeight="false" outlineLevel="0" collapsed="false">
      <c r="A434" s="7" t="n">
        <v>433</v>
      </c>
      <c r="B434" s="8"/>
      <c r="C434" s="8"/>
      <c r="D434" s="7"/>
      <c r="E434" s="7"/>
      <c r="F434" s="8"/>
      <c r="G434" s="7"/>
      <c r="H434" s="7"/>
      <c r="I434" s="8"/>
      <c r="J434" s="9"/>
      <c r="K434" s="9"/>
      <c r="L434" s="7"/>
      <c r="M434" s="7"/>
      <c r="N434" s="8"/>
      <c r="O434" s="9"/>
      <c r="P434" s="9"/>
      <c r="Q434" s="9"/>
      <c r="R434" s="9"/>
      <c r="S434" s="8"/>
      <c r="T434" s="9" t="str">
        <f aca="false">IF(J434="","",EDATE(MAX(J434,K434,P434,Q434,R434),36))</f>
        <v/>
      </c>
      <c r="U434" s="9" t="str">
        <f aca="false">IF(OR(L434&lt;&gt;"Email",K434="",P434&lt;&gt;"",M434="Opposition",M434="Pas intéressé",M434="Client",M434="Rendez-vous pris",M434="Numéro erroné"),"",WORKDAY(K434,5))</f>
        <v/>
      </c>
      <c r="V434" s="9" t="str">
        <f aca="false">IF(OR(P434="",Q434&lt;&gt;"",M434="Opposition",M434="Pas intéressé",M434="Client",M434="Rendez-vous pris",M434="Numéro erroné"),"",WORKDAY(P434,7))</f>
        <v/>
      </c>
      <c r="W434" s="7" t="str">
        <f aca="true">IF(M434="Opposition","Ne pas contacter",IF(AND(U434&lt;&gt;"",U434&lt;=TODAY()),"Relance 1 à envoyer",IF(AND(V434&lt;&gt;"",V434&lt;=TODAY()),"Relance 2 à envoyer",IF(AND(O434&lt;&gt;"",O434&lt;=TODAY()),"Rappel à faire",""))))</f>
        <v/>
      </c>
    </row>
    <row r="435" customFormat="false" ht="15" hidden="false" customHeight="false" outlineLevel="0" collapsed="false">
      <c r="A435" s="7" t="n">
        <v>434</v>
      </c>
      <c r="B435" s="8"/>
      <c r="C435" s="8"/>
      <c r="D435" s="7"/>
      <c r="E435" s="7"/>
      <c r="F435" s="8"/>
      <c r="G435" s="7"/>
      <c r="H435" s="7"/>
      <c r="I435" s="8"/>
      <c r="J435" s="9"/>
      <c r="K435" s="9"/>
      <c r="L435" s="7"/>
      <c r="M435" s="7"/>
      <c r="N435" s="8"/>
      <c r="O435" s="9"/>
      <c r="P435" s="9"/>
      <c r="Q435" s="9"/>
      <c r="R435" s="9"/>
      <c r="S435" s="8"/>
      <c r="T435" s="9" t="str">
        <f aca="false">IF(J435="","",EDATE(MAX(J435,K435,P435,Q435,R435),36))</f>
        <v/>
      </c>
      <c r="U435" s="9" t="str">
        <f aca="false">IF(OR(L435&lt;&gt;"Email",K435="",P435&lt;&gt;"",M435="Opposition",M435="Pas intéressé",M435="Client",M435="Rendez-vous pris",M435="Numéro erroné"),"",WORKDAY(K435,5))</f>
        <v/>
      </c>
      <c r="V435" s="9" t="str">
        <f aca="false">IF(OR(P435="",Q435&lt;&gt;"",M435="Opposition",M435="Pas intéressé",M435="Client",M435="Rendez-vous pris",M435="Numéro erroné"),"",WORKDAY(P435,7))</f>
        <v/>
      </c>
      <c r="W435" s="7" t="str">
        <f aca="true">IF(M435="Opposition","Ne pas contacter",IF(AND(U435&lt;&gt;"",U435&lt;=TODAY()),"Relance 1 à envoyer",IF(AND(V435&lt;&gt;"",V435&lt;=TODAY()),"Relance 2 à envoyer",IF(AND(O435&lt;&gt;"",O435&lt;=TODAY()),"Rappel à faire",""))))</f>
        <v/>
      </c>
    </row>
    <row r="436" customFormat="false" ht="15" hidden="false" customHeight="false" outlineLevel="0" collapsed="false">
      <c r="A436" s="7" t="n">
        <v>435</v>
      </c>
      <c r="B436" s="8"/>
      <c r="C436" s="8"/>
      <c r="D436" s="7"/>
      <c r="E436" s="7"/>
      <c r="F436" s="8"/>
      <c r="G436" s="7"/>
      <c r="H436" s="7"/>
      <c r="I436" s="8"/>
      <c r="J436" s="9"/>
      <c r="K436" s="9"/>
      <c r="L436" s="7"/>
      <c r="M436" s="7"/>
      <c r="N436" s="8"/>
      <c r="O436" s="9"/>
      <c r="P436" s="9"/>
      <c r="Q436" s="9"/>
      <c r="R436" s="9"/>
      <c r="S436" s="8"/>
      <c r="T436" s="9" t="str">
        <f aca="false">IF(J436="","",EDATE(MAX(J436,K436,P436,Q436,R436),36))</f>
        <v/>
      </c>
      <c r="U436" s="9" t="str">
        <f aca="false">IF(OR(L436&lt;&gt;"Email",K436="",P436&lt;&gt;"",M436="Opposition",M436="Pas intéressé",M436="Client",M436="Rendez-vous pris",M436="Numéro erroné"),"",WORKDAY(K436,5))</f>
        <v/>
      </c>
      <c r="V436" s="9" t="str">
        <f aca="false">IF(OR(P436="",Q436&lt;&gt;"",M436="Opposition",M436="Pas intéressé",M436="Client",M436="Rendez-vous pris",M436="Numéro erroné"),"",WORKDAY(P436,7))</f>
        <v/>
      </c>
      <c r="W436" s="7" t="str">
        <f aca="true">IF(M436="Opposition","Ne pas contacter",IF(AND(U436&lt;&gt;"",U436&lt;=TODAY()),"Relance 1 à envoyer",IF(AND(V436&lt;&gt;"",V436&lt;=TODAY()),"Relance 2 à envoyer",IF(AND(O436&lt;&gt;"",O436&lt;=TODAY()),"Rappel à faire",""))))</f>
        <v/>
      </c>
    </row>
    <row r="437" customFormat="false" ht="15" hidden="false" customHeight="false" outlineLevel="0" collapsed="false">
      <c r="A437" s="7" t="n">
        <v>436</v>
      </c>
      <c r="B437" s="8"/>
      <c r="C437" s="8"/>
      <c r="D437" s="7"/>
      <c r="E437" s="7"/>
      <c r="F437" s="8"/>
      <c r="G437" s="7"/>
      <c r="H437" s="7"/>
      <c r="I437" s="8"/>
      <c r="J437" s="9"/>
      <c r="K437" s="9"/>
      <c r="L437" s="7"/>
      <c r="M437" s="7"/>
      <c r="N437" s="8"/>
      <c r="O437" s="9"/>
      <c r="P437" s="9"/>
      <c r="Q437" s="9"/>
      <c r="R437" s="9"/>
      <c r="S437" s="8"/>
      <c r="T437" s="9" t="str">
        <f aca="false">IF(J437="","",EDATE(MAX(J437,K437,P437,Q437,R437),36))</f>
        <v/>
      </c>
      <c r="U437" s="9" t="str">
        <f aca="false">IF(OR(L437&lt;&gt;"Email",K437="",P437&lt;&gt;"",M437="Opposition",M437="Pas intéressé",M437="Client",M437="Rendez-vous pris",M437="Numéro erroné"),"",WORKDAY(K437,5))</f>
        <v/>
      </c>
      <c r="V437" s="9" t="str">
        <f aca="false">IF(OR(P437="",Q437&lt;&gt;"",M437="Opposition",M437="Pas intéressé",M437="Client",M437="Rendez-vous pris",M437="Numéro erroné"),"",WORKDAY(P437,7))</f>
        <v/>
      </c>
      <c r="W437" s="7" t="str">
        <f aca="true">IF(M437="Opposition","Ne pas contacter",IF(AND(U437&lt;&gt;"",U437&lt;=TODAY()),"Relance 1 à envoyer",IF(AND(V437&lt;&gt;"",V437&lt;=TODAY()),"Relance 2 à envoyer",IF(AND(O437&lt;&gt;"",O437&lt;=TODAY()),"Rappel à faire",""))))</f>
        <v/>
      </c>
    </row>
    <row r="438" customFormat="false" ht="15" hidden="false" customHeight="false" outlineLevel="0" collapsed="false">
      <c r="A438" s="7" t="n">
        <v>437</v>
      </c>
      <c r="B438" s="8"/>
      <c r="C438" s="8"/>
      <c r="D438" s="7"/>
      <c r="E438" s="7"/>
      <c r="F438" s="8"/>
      <c r="G438" s="7"/>
      <c r="H438" s="7"/>
      <c r="I438" s="8"/>
      <c r="J438" s="9"/>
      <c r="K438" s="9"/>
      <c r="L438" s="7"/>
      <c r="M438" s="7"/>
      <c r="N438" s="8"/>
      <c r="O438" s="9"/>
      <c r="P438" s="9"/>
      <c r="Q438" s="9"/>
      <c r="R438" s="9"/>
      <c r="S438" s="8"/>
      <c r="T438" s="9" t="str">
        <f aca="false">IF(J438="","",EDATE(MAX(J438,K438,P438,Q438,R438),36))</f>
        <v/>
      </c>
      <c r="U438" s="9" t="str">
        <f aca="false">IF(OR(L438&lt;&gt;"Email",K438="",P438&lt;&gt;"",M438="Opposition",M438="Pas intéressé",M438="Client",M438="Rendez-vous pris",M438="Numéro erroné"),"",WORKDAY(K438,5))</f>
        <v/>
      </c>
      <c r="V438" s="9" t="str">
        <f aca="false">IF(OR(P438="",Q438&lt;&gt;"",M438="Opposition",M438="Pas intéressé",M438="Client",M438="Rendez-vous pris",M438="Numéro erroné"),"",WORKDAY(P438,7))</f>
        <v/>
      </c>
      <c r="W438" s="7" t="str">
        <f aca="true">IF(M438="Opposition","Ne pas contacter",IF(AND(U438&lt;&gt;"",U438&lt;=TODAY()),"Relance 1 à envoyer",IF(AND(V438&lt;&gt;"",V438&lt;=TODAY()),"Relance 2 à envoyer",IF(AND(O438&lt;&gt;"",O438&lt;=TODAY()),"Rappel à faire",""))))</f>
        <v/>
      </c>
    </row>
    <row r="439" customFormat="false" ht="15" hidden="false" customHeight="false" outlineLevel="0" collapsed="false">
      <c r="A439" s="7" t="n">
        <v>438</v>
      </c>
      <c r="B439" s="8"/>
      <c r="C439" s="8"/>
      <c r="D439" s="7"/>
      <c r="E439" s="7"/>
      <c r="F439" s="8"/>
      <c r="G439" s="7"/>
      <c r="H439" s="7"/>
      <c r="I439" s="8"/>
      <c r="J439" s="9"/>
      <c r="K439" s="9"/>
      <c r="L439" s="7"/>
      <c r="M439" s="7"/>
      <c r="N439" s="8"/>
      <c r="O439" s="9"/>
      <c r="P439" s="9"/>
      <c r="Q439" s="9"/>
      <c r="R439" s="9"/>
      <c r="S439" s="8"/>
      <c r="T439" s="9" t="str">
        <f aca="false">IF(J439="","",EDATE(MAX(J439,K439,P439,Q439,R439),36))</f>
        <v/>
      </c>
      <c r="U439" s="9" t="str">
        <f aca="false">IF(OR(L439&lt;&gt;"Email",K439="",P439&lt;&gt;"",M439="Opposition",M439="Pas intéressé",M439="Client",M439="Rendez-vous pris",M439="Numéro erroné"),"",WORKDAY(K439,5))</f>
        <v/>
      </c>
      <c r="V439" s="9" t="str">
        <f aca="false">IF(OR(P439="",Q439&lt;&gt;"",M439="Opposition",M439="Pas intéressé",M439="Client",M439="Rendez-vous pris",M439="Numéro erroné"),"",WORKDAY(P439,7))</f>
        <v/>
      </c>
      <c r="W439" s="7" t="str">
        <f aca="true">IF(M439="Opposition","Ne pas contacter",IF(AND(U439&lt;&gt;"",U439&lt;=TODAY()),"Relance 1 à envoyer",IF(AND(V439&lt;&gt;"",V439&lt;=TODAY()),"Relance 2 à envoyer",IF(AND(O439&lt;&gt;"",O439&lt;=TODAY()),"Rappel à faire",""))))</f>
        <v/>
      </c>
    </row>
    <row r="440" customFormat="false" ht="15" hidden="false" customHeight="false" outlineLevel="0" collapsed="false">
      <c r="A440" s="7" t="n">
        <v>439</v>
      </c>
      <c r="B440" s="8"/>
      <c r="C440" s="8"/>
      <c r="D440" s="7"/>
      <c r="E440" s="7"/>
      <c r="F440" s="8"/>
      <c r="G440" s="7"/>
      <c r="H440" s="7"/>
      <c r="I440" s="8"/>
      <c r="J440" s="9"/>
      <c r="K440" s="9"/>
      <c r="L440" s="7"/>
      <c r="M440" s="7"/>
      <c r="N440" s="8"/>
      <c r="O440" s="9"/>
      <c r="P440" s="9"/>
      <c r="Q440" s="9"/>
      <c r="R440" s="9"/>
      <c r="S440" s="8"/>
      <c r="T440" s="9" t="str">
        <f aca="false">IF(J440="","",EDATE(MAX(J440,K440,P440,Q440,R440),36))</f>
        <v/>
      </c>
      <c r="U440" s="9" t="str">
        <f aca="false">IF(OR(L440&lt;&gt;"Email",K440="",P440&lt;&gt;"",M440="Opposition",M440="Pas intéressé",M440="Client",M440="Rendez-vous pris",M440="Numéro erroné"),"",WORKDAY(K440,5))</f>
        <v/>
      </c>
      <c r="V440" s="9" t="str">
        <f aca="false">IF(OR(P440="",Q440&lt;&gt;"",M440="Opposition",M440="Pas intéressé",M440="Client",M440="Rendez-vous pris",M440="Numéro erroné"),"",WORKDAY(P440,7))</f>
        <v/>
      </c>
      <c r="W440" s="7" t="str">
        <f aca="true">IF(M440="Opposition","Ne pas contacter",IF(AND(U440&lt;&gt;"",U440&lt;=TODAY()),"Relance 1 à envoyer",IF(AND(V440&lt;&gt;"",V440&lt;=TODAY()),"Relance 2 à envoyer",IF(AND(O440&lt;&gt;"",O440&lt;=TODAY()),"Rappel à faire",""))))</f>
        <v/>
      </c>
    </row>
    <row r="441" customFormat="false" ht="15" hidden="false" customHeight="false" outlineLevel="0" collapsed="false">
      <c r="A441" s="7" t="n">
        <v>440</v>
      </c>
      <c r="B441" s="8"/>
      <c r="C441" s="8"/>
      <c r="D441" s="7"/>
      <c r="E441" s="7"/>
      <c r="F441" s="8"/>
      <c r="G441" s="7"/>
      <c r="H441" s="7"/>
      <c r="I441" s="8"/>
      <c r="J441" s="9"/>
      <c r="K441" s="9"/>
      <c r="L441" s="7"/>
      <c r="M441" s="7"/>
      <c r="N441" s="8"/>
      <c r="O441" s="9"/>
      <c r="P441" s="9"/>
      <c r="Q441" s="9"/>
      <c r="R441" s="9"/>
      <c r="S441" s="8"/>
      <c r="T441" s="9" t="str">
        <f aca="false">IF(J441="","",EDATE(MAX(J441,K441,P441,Q441,R441),36))</f>
        <v/>
      </c>
      <c r="U441" s="9" t="str">
        <f aca="false">IF(OR(L441&lt;&gt;"Email",K441="",P441&lt;&gt;"",M441="Opposition",M441="Pas intéressé",M441="Client",M441="Rendez-vous pris",M441="Numéro erroné"),"",WORKDAY(K441,5))</f>
        <v/>
      </c>
      <c r="V441" s="9" t="str">
        <f aca="false">IF(OR(P441="",Q441&lt;&gt;"",M441="Opposition",M441="Pas intéressé",M441="Client",M441="Rendez-vous pris",M441="Numéro erroné"),"",WORKDAY(P441,7))</f>
        <v/>
      </c>
      <c r="W441" s="7" t="str">
        <f aca="true">IF(M441="Opposition","Ne pas contacter",IF(AND(U441&lt;&gt;"",U441&lt;=TODAY()),"Relance 1 à envoyer",IF(AND(V441&lt;&gt;"",V441&lt;=TODAY()),"Relance 2 à envoyer",IF(AND(O441&lt;&gt;"",O441&lt;=TODAY()),"Rappel à faire",""))))</f>
        <v/>
      </c>
    </row>
    <row r="442" customFormat="false" ht="15" hidden="false" customHeight="false" outlineLevel="0" collapsed="false">
      <c r="A442" s="7" t="n">
        <v>441</v>
      </c>
      <c r="B442" s="8"/>
      <c r="C442" s="8"/>
      <c r="D442" s="7"/>
      <c r="E442" s="7"/>
      <c r="F442" s="8"/>
      <c r="G442" s="7"/>
      <c r="H442" s="7"/>
      <c r="I442" s="8"/>
      <c r="J442" s="9"/>
      <c r="K442" s="9"/>
      <c r="L442" s="7"/>
      <c r="M442" s="7"/>
      <c r="N442" s="8"/>
      <c r="O442" s="9"/>
      <c r="P442" s="9"/>
      <c r="Q442" s="9"/>
      <c r="R442" s="9"/>
      <c r="S442" s="8"/>
      <c r="T442" s="9" t="str">
        <f aca="false">IF(J442="","",EDATE(MAX(J442,K442,P442,Q442,R442),36))</f>
        <v/>
      </c>
      <c r="U442" s="9" t="str">
        <f aca="false">IF(OR(L442&lt;&gt;"Email",K442="",P442&lt;&gt;"",M442="Opposition",M442="Pas intéressé",M442="Client",M442="Rendez-vous pris",M442="Numéro erroné"),"",WORKDAY(K442,5))</f>
        <v/>
      </c>
      <c r="V442" s="9" t="str">
        <f aca="false">IF(OR(P442="",Q442&lt;&gt;"",M442="Opposition",M442="Pas intéressé",M442="Client",M442="Rendez-vous pris",M442="Numéro erroné"),"",WORKDAY(P442,7))</f>
        <v/>
      </c>
      <c r="W442" s="7" t="str">
        <f aca="true">IF(M442="Opposition","Ne pas contacter",IF(AND(U442&lt;&gt;"",U442&lt;=TODAY()),"Relance 1 à envoyer",IF(AND(V442&lt;&gt;"",V442&lt;=TODAY()),"Relance 2 à envoyer",IF(AND(O442&lt;&gt;"",O442&lt;=TODAY()),"Rappel à faire",""))))</f>
        <v/>
      </c>
    </row>
    <row r="443" customFormat="false" ht="15" hidden="false" customHeight="false" outlineLevel="0" collapsed="false">
      <c r="A443" s="7" t="n">
        <v>442</v>
      </c>
      <c r="B443" s="8"/>
      <c r="C443" s="8"/>
      <c r="D443" s="7"/>
      <c r="E443" s="7"/>
      <c r="F443" s="8"/>
      <c r="G443" s="7"/>
      <c r="H443" s="7"/>
      <c r="I443" s="8"/>
      <c r="J443" s="9"/>
      <c r="K443" s="9"/>
      <c r="L443" s="7"/>
      <c r="M443" s="7"/>
      <c r="N443" s="8"/>
      <c r="O443" s="9"/>
      <c r="P443" s="9"/>
      <c r="Q443" s="9"/>
      <c r="R443" s="9"/>
      <c r="S443" s="8"/>
      <c r="T443" s="9" t="str">
        <f aca="false">IF(J443="","",EDATE(MAX(J443,K443,P443,Q443,R443),36))</f>
        <v/>
      </c>
      <c r="U443" s="9" t="str">
        <f aca="false">IF(OR(L443&lt;&gt;"Email",K443="",P443&lt;&gt;"",M443="Opposition",M443="Pas intéressé",M443="Client",M443="Rendez-vous pris",M443="Numéro erroné"),"",WORKDAY(K443,5))</f>
        <v/>
      </c>
      <c r="V443" s="9" t="str">
        <f aca="false">IF(OR(P443="",Q443&lt;&gt;"",M443="Opposition",M443="Pas intéressé",M443="Client",M443="Rendez-vous pris",M443="Numéro erroné"),"",WORKDAY(P443,7))</f>
        <v/>
      </c>
      <c r="W443" s="7" t="str">
        <f aca="true">IF(M443="Opposition","Ne pas contacter",IF(AND(U443&lt;&gt;"",U443&lt;=TODAY()),"Relance 1 à envoyer",IF(AND(V443&lt;&gt;"",V443&lt;=TODAY()),"Relance 2 à envoyer",IF(AND(O443&lt;&gt;"",O443&lt;=TODAY()),"Rappel à faire",""))))</f>
        <v/>
      </c>
    </row>
    <row r="444" customFormat="false" ht="15" hidden="false" customHeight="false" outlineLevel="0" collapsed="false">
      <c r="A444" s="7" t="n">
        <v>443</v>
      </c>
      <c r="B444" s="8"/>
      <c r="C444" s="8"/>
      <c r="D444" s="7"/>
      <c r="E444" s="7"/>
      <c r="F444" s="8"/>
      <c r="G444" s="7"/>
      <c r="H444" s="7"/>
      <c r="I444" s="8"/>
      <c r="J444" s="9"/>
      <c r="K444" s="9"/>
      <c r="L444" s="7"/>
      <c r="M444" s="7"/>
      <c r="N444" s="8"/>
      <c r="O444" s="9"/>
      <c r="P444" s="9"/>
      <c r="Q444" s="9"/>
      <c r="R444" s="9"/>
      <c r="S444" s="8"/>
      <c r="T444" s="9" t="str">
        <f aca="false">IF(J444="","",EDATE(MAX(J444,K444,P444,Q444,R444),36))</f>
        <v/>
      </c>
      <c r="U444" s="9" t="str">
        <f aca="false">IF(OR(L444&lt;&gt;"Email",K444="",P444&lt;&gt;"",M444="Opposition",M444="Pas intéressé",M444="Client",M444="Rendez-vous pris",M444="Numéro erroné"),"",WORKDAY(K444,5))</f>
        <v/>
      </c>
      <c r="V444" s="9" t="str">
        <f aca="false">IF(OR(P444="",Q444&lt;&gt;"",M444="Opposition",M444="Pas intéressé",M444="Client",M444="Rendez-vous pris",M444="Numéro erroné"),"",WORKDAY(P444,7))</f>
        <v/>
      </c>
      <c r="W444" s="7" t="str">
        <f aca="true">IF(M444="Opposition","Ne pas contacter",IF(AND(U444&lt;&gt;"",U444&lt;=TODAY()),"Relance 1 à envoyer",IF(AND(V444&lt;&gt;"",V444&lt;=TODAY()),"Relance 2 à envoyer",IF(AND(O444&lt;&gt;"",O444&lt;=TODAY()),"Rappel à faire",""))))</f>
        <v/>
      </c>
    </row>
    <row r="445" customFormat="false" ht="15" hidden="false" customHeight="false" outlineLevel="0" collapsed="false">
      <c r="A445" s="7" t="n">
        <v>444</v>
      </c>
      <c r="B445" s="8"/>
      <c r="C445" s="8"/>
      <c r="D445" s="7"/>
      <c r="E445" s="7"/>
      <c r="F445" s="8"/>
      <c r="G445" s="7"/>
      <c r="H445" s="7"/>
      <c r="I445" s="8"/>
      <c r="J445" s="9"/>
      <c r="K445" s="9"/>
      <c r="L445" s="7"/>
      <c r="M445" s="7"/>
      <c r="N445" s="8"/>
      <c r="O445" s="9"/>
      <c r="P445" s="9"/>
      <c r="Q445" s="9"/>
      <c r="R445" s="9"/>
      <c r="S445" s="8"/>
      <c r="T445" s="9" t="str">
        <f aca="false">IF(J445="","",EDATE(MAX(J445,K445,P445,Q445,R445),36))</f>
        <v/>
      </c>
      <c r="U445" s="9" t="str">
        <f aca="false">IF(OR(L445&lt;&gt;"Email",K445="",P445&lt;&gt;"",M445="Opposition",M445="Pas intéressé",M445="Client",M445="Rendez-vous pris",M445="Numéro erroné"),"",WORKDAY(K445,5))</f>
        <v/>
      </c>
      <c r="V445" s="9" t="str">
        <f aca="false">IF(OR(P445="",Q445&lt;&gt;"",M445="Opposition",M445="Pas intéressé",M445="Client",M445="Rendez-vous pris",M445="Numéro erroné"),"",WORKDAY(P445,7))</f>
        <v/>
      </c>
      <c r="W445" s="7" t="str">
        <f aca="true">IF(M445="Opposition","Ne pas contacter",IF(AND(U445&lt;&gt;"",U445&lt;=TODAY()),"Relance 1 à envoyer",IF(AND(V445&lt;&gt;"",V445&lt;=TODAY()),"Relance 2 à envoyer",IF(AND(O445&lt;&gt;"",O445&lt;=TODAY()),"Rappel à faire",""))))</f>
        <v/>
      </c>
    </row>
    <row r="446" customFormat="false" ht="15" hidden="false" customHeight="false" outlineLevel="0" collapsed="false">
      <c r="A446" s="7" t="n">
        <v>445</v>
      </c>
      <c r="B446" s="8"/>
      <c r="C446" s="8"/>
      <c r="D446" s="7"/>
      <c r="E446" s="7"/>
      <c r="F446" s="8"/>
      <c r="G446" s="7"/>
      <c r="H446" s="7"/>
      <c r="I446" s="8"/>
      <c r="J446" s="9"/>
      <c r="K446" s="9"/>
      <c r="L446" s="7"/>
      <c r="M446" s="7"/>
      <c r="N446" s="8"/>
      <c r="O446" s="9"/>
      <c r="P446" s="9"/>
      <c r="Q446" s="9"/>
      <c r="R446" s="9"/>
      <c r="S446" s="8"/>
      <c r="T446" s="9" t="str">
        <f aca="false">IF(J446="","",EDATE(MAX(J446,K446,P446,Q446,R446),36))</f>
        <v/>
      </c>
      <c r="U446" s="9" t="str">
        <f aca="false">IF(OR(L446&lt;&gt;"Email",K446="",P446&lt;&gt;"",M446="Opposition",M446="Pas intéressé",M446="Client",M446="Rendez-vous pris",M446="Numéro erroné"),"",WORKDAY(K446,5))</f>
        <v/>
      </c>
      <c r="V446" s="9" t="str">
        <f aca="false">IF(OR(P446="",Q446&lt;&gt;"",M446="Opposition",M446="Pas intéressé",M446="Client",M446="Rendez-vous pris",M446="Numéro erroné"),"",WORKDAY(P446,7))</f>
        <v/>
      </c>
      <c r="W446" s="7" t="str">
        <f aca="true">IF(M446="Opposition","Ne pas contacter",IF(AND(U446&lt;&gt;"",U446&lt;=TODAY()),"Relance 1 à envoyer",IF(AND(V446&lt;&gt;"",V446&lt;=TODAY()),"Relance 2 à envoyer",IF(AND(O446&lt;&gt;"",O446&lt;=TODAY()),"Rappel à faire",""))))</f>
        <v/>
      </c>
    </row>
    <row r="447" customFormat="false" ht="15" hidden="false" customHeight="false" outlineLevel="0" collapsed="false">
      <c r="A447" s="7" t="n">
        <v>446</v>
      </c>
      <c r="B447" s="8"/>
      <c r="C447" s="8"/>
      <c r="D447" s="7"/>
      <c r="E447" s="7"/>
      <c r="F447" s="8"/>
      <c r="G447" s="7"/>
      <c r="H447" s="7"/>
      <c r="I447" s="8"/>
      <c r="J447" s="9"/>
      <c r="K447" s="9"/>
      <c r="L447" s="7"/>
      <c r="M447" s="7"/>
      <c r="N447" s="8"/>
      <c r="O447" s="9"/>
      <c r="P447" s="9"/>
      <c r="Q447" s="9"/>
      <c r="R447" s="9"/>
      <c r="S447" s="8"/>
      <c r="T447" s="9" t="str">
        <f aca="false">IF(J447="","",EDATE(MAX(J447,K447,P447,Q447,R447),36))</f>
        <v/>
      </c>
      <c r="U447" s="9" t="str">
        <f aca="false">IF(OR(L447&lt;&gt;"Email",K447="",P447&lt;&gt;"",M447="Opposition",M447="Pas intéressé",M447="Client",M447="Rendez-vous pris",M447="Numéro erroné"),"",WORKDAY(K447,5))</f>
        <v/>
      </c>
      <c r="V447" s="9" t="str">
        <f aca="false">IF(OR(P447="",Q447&lt;&gt;"",M447="Opposition",M447="Pas intéressé",M447="Client",M447="Rendez-vous pris",M447="Numéro erroné"),"",WORKDAY(P447,7))</f>
        <v/>
      </c>
      <c r="W447" s="7" t="str">
        <f aca="true">IF(M447="Opposition","Ne pas contacter",IF(AND(U447&lt;&gt;"",U447&lt;=TODAY()),"Relance 1 à envoyer",IF(AND(V447&lt;&gt;"",V447&lt;=TODAY()),"Relance 2 à envoyer",IF(AND(O447&lt;&gt;"",O447&lt;=TODAY()),"Rappel à faire",""))))</f>
        <v/>
      </c>
    </row>
    <row r="448" customFormat="false" ht="15" hidden="false" customHeight="false" outlineLevel="0" collapsed="false">
      <c r="A448" s="7" t="n">
        <v>447</v>
      </c>
      <c r="B448" s="8"/>
      <c r="C448" s="8"/>
      <c r="D448" s="7"/>
      <c r="E448" s="7"/>
      <c r="F448" s="8"/>
      <c r="G448" s="7"/>
      <c r="H448" s="7"/>
      <c r="I448" s="8"/>
      <c r="J448" s="9"/>
      <c r="K448" s="9"/>
      <c r="L448" s="7"/>
      <c r="M448" s="7"/>
      <c r="N448" s="8"/>
      <c r="O448" s="9"/>
      <c r="P448" s="9"/>
      <c r="Q448" s="9"/>
      <c r="R448" s="9"/>
      <c r="S448" s="8"/>
      <c r="T448" s="9" t="str">
        <f aca="false">IF(J448="","",EDATE(MAX(J448,K448,P448,Q448,R448),36))</f>
        <v/>
      </c>
      <c r="U448" s="9" t="str">
        <f aca="false">IF(OR(L448&lt;&gt;"Email",K448="",P448&lt;&gt;"",M448="Opposition",M448="Pas intéressé",M448="Client",M448="Rendez-vous pris",M448="Numéro erroné"),"",WORKDAY(K448,5))</f>
        <v/>
      </c>
      <c r="V448" s="9" t="str">
        <f aca="false">IF(OR(P448="",Q448&lt;&gt;"",M448="Opposition",M448="Pas intéressé",M448="Client",M448="Rendez-vous pris",M448="Numéro erroné"),"",WORKDAY(P448,7))</f>
        <v/>
      </c>
      <c r="W448" s="7" t="str">
        <f aca="true">IF(M448="Opposition","Ne pas contacter",IF(AND(U448&lt;&gt;"",U448&lt;=TODAY()),"Relance 1 à envoyer",IF(AND(V448&lt;&gt;"",V448&lt;=TODAY()),"Relance 2 à envoyer",IF(AND(O448&lt;&gt;"",O448&lt;=TODAY()),"Rappel à faire",""))))</f>
        <v/>
      </c>
    </row>
    <row r="449" customFormat="false" ht="15" hidden="false" customHeight="false" outlineLevel="0" collapsed="false">
      <c r="A449" s="7" t="n">
        <v>448</v>
      </c>
      <c r="B449" s="8"/>
      <c r="C449" s="8"/>
      <c r="D449" s="7"/>
      <c r="E449" s="7"/>
      <c r="F449" s="8"/>
      <c r="G449" s="7"/>
      <c r="H449" s="7"/>
      <c r="I449" s="8"/>
      <c r="J449" s="9"/>
      <c r="K449" s="9"/>
      <c r="L449" s="7"/>
      <c r="M449" s="7"/>
      <c r="N449" s="8"/>
      <c r="O449" s="9"/>
      <c r="P449" s="9"/>
      <c r="Q449" s="9"/>
      <c r="R449" s="9"/>
      <c r="S449" s="8"/>
      <c r="T449" s="9" t="str">
        <f aca="false">IF(J449="","",EDATE(MAX(J449,K449,P449,Q449,R449),36))</f>
        <v/>
      </c>
      <c r="U449" s="9" t="str">
        <f aca="false">IF(OR(L449&lt;&gt;"Email",K449="",P449&lt;&gt;"",M449="Opposition",M449="Pas intéressé",M449="Client",M449="Rendez-vous pris",M449="Numéro erroné"),"",WORKDAY(K449,5))</f>
        <v/>
      </c>
      <c r="V449" s="9" t="str">
        <f aca="false">IF(OR(P449="",Q449&lt;&gt;"",M449="Opposition",M449="Pas intéressé",M449="Client",M449="Rendez-vous pris",M449="Numéro erroné"),"",WORKDAY(P449,7))</f>
        <v/>
      </c>
      <c r="W449" s="7" t="str">
        <f aca="true">IF(M449="Opposition","Ne pas contacter",IF(AND(U449&lt;&gt;"",U449&lt;=TODAY()),"Relance 1 à envoyer",IF(AND(V449&lt;&gt;"",V449&lt;=TODAY()),"Relance 2 à envoyer",IF(AND(O449&lt;&gt;"",O449&lt;=TODAY()),"Rappel à faire",""))))</f>
        <v/>
      </c>
    </row>
    <row r="450" customFormat="false" ht="15" hidden="false" customHeight="false" outlineLevel="0" collapsed="false">
      <c r="A450" s="7" t="n">
        <v>449</v>
      </c>
      <c r="B450" s="8"/>
      <c r="C450" s="8"/>
      <c r="D450" s="7"/>
      <c r="E450" s="7"/>
      <c r="F450" s="8"/>
      <c r="G450" s="7"/>
      <c r="H450" s="7"/>
      <c r="I450" s="8"/>
      <c r="J450" s="9"/>
      <c r="K450" s="9"/>
      <c r="L450" s="7"/>
      <c r="M450" s="7"/>
      <c r="N450" s="8"/>
      <c r="O450" s="9"/>
      <c r="P450" s="9"/>
      <c r="Q450" s="9"/>
      <c r="R450" s="9"/>
      <c r="S450" s="8"/>
      <c r="T450" s="9" t="str">
        <f aca="false">IF(J450="","",EDATE(MAX(J450,K450,P450,Q450,R450),36))</f>
        <v/>
      </c>
      <c r="U450" s="9" t="str">
        <f aca="false">IF(OR(L450&lt;&gt;"Email",K450="",P450&lt;&gt;"",M450="Opposition",M450="Pas intéressé",M450="Client",M450="Rendez-vous pris",M450="Numéro erroné"),"",WORKDAY(K450,5))</f>
        <v/>
      </c>
      <c r="V450" s="9" t="str">
        <f aca="false">IF(OR(P450="",Q450&lt;&gt;"",M450="Opposition",M450="Pas intéressé",M450="Client",M450="Rendez-vous pris",M450="Numéro erroné"),"",WORKDAY(P450,7))</f>
        <v/>
      </c>
      <c r="W450" s="7" t="str">
        <f aca="true">IF(M450="Opposition","Ne pas contacter",IF(AND(U450&lt;&gt;"",U450&lt;=TODAY()),"Relance 1 à envoyer",IF(AND(V450&lt;&gt;"",V450&lt;=TODAY()),"Relance 2 à envoyer",IF(AND(O450&lt;&gt;"",O450&lt;=TODAY()),"Rappel à faire",""))))</f>
        <v/>
      </c>
    </row>
    <row r="451" customFormat="false" ht="15" hidden="false" customHeight="false" outlineLevel="0" collapsed="false">
      <c r="A451" s="7" t="n">
        <v>450</v>
      </c>
      <c r="B451" s="8"/>
      <c r="C451" s="8"/>
      <c r="D451" s="7"/>
      <c r="E451" s="7"/>
      <c r="F451" s="8"/>
      <c r="G451" s="7"/>
      <c r="H451" s="7"/>
      <c r="I451" s="8"/>
      <c r="J451" s="9"/>
      <c r="K451" s="9"/>
      <c r="L451" s="7"/>
      <c r="M451" s="7"/>
      <c r="N451" s="8"/>
      <c r="O451" s="9"/>
      <c r="P451" s="9"/>
      <c r="Q451" s="9"/>
      <c r="R451" s="9"/>
      <c r="S451" s="8"/>
      <c r="T451" s="9" t="str">
        <f aca="false">IF(J451="","",EDATE(MAX(J451,K451,P451,Q451,R451),36))</f>
        <v/>
      </c>
      <c r="U451" s="9" t="str">
        <f aca="false">IF(OR(L451&lt;&gt;"Email",K451="",P451&lt;&gt;"",M451="Opposition",M451="Pas intéressé",M451="Client",M451="Rendez-vous pris",M451="Numéro erroné"),"",WORKDAY(K451,5))</f>
        <v/>
      </c>
      <c r="V451" s="9" t="str">
        <f aca="false">IF(OR(P451="",Q451&lt;&gt;"",M451="Opposition",M451="Pas intéressé",M451="Client",M451="Rendez-vous pris",M451="Numéro erroné"),"",WORKDAY(P451,7))</f>
        <v/>
      </c>
      <c r="W451" s="7" t="str">
        <f aca="true">IF(M451="Opposition","Ne pas contacter",IF(AND(U451&lt;&gt;"",U451&lt;=TODAY()),"Relance 1 à envoyer",IF(AND(V451&lt;&gt;"",V451&lt;=TODAY()),"Relance 2 à envoyer",IF(AND(O451&lt;&gt;"",O451&lt;=TODAY()),"Rappel à faire",""))))</f>
        <v/>
      </c>
    </row>
    <row r="452" customFormat="false" ht="15" hidden="false" customHeight="false" outlineLevel="0" collapsed="false">
      <c r="A452" s="7" t="n">
        <v>451</v>
      </c>
      <c r="B452" s="8"/>
      <c r="C452" s="8"/>
      <c r="D452" s="7"/>
      <c r="E452" s="7"/>
      <c r="F452" s="8"/>
      <c r="G452" s="7"/>
      <c r="H452" s="7"/>
      <c r="I452" s="8"/>
      <c r="J452" s="9"/>
      <c r="K452" s="9"/>
      <c r="L452" s="7"/>
      <c r="M452" s="7"/>
      <c r="N452" s="8"/>
      <c r="O452" s="9"/>
      <c r="P452" s="9"/>
      <c r="Q452" s="9"/>
      <c r="R452" s="9"/>
      <c r="S452" s="8"/>
      <c r="T452" s="9" t="str">
        <f aca="false">IF(J452="","",EDATE(MAX(J452,K452,P452,Q452,R452),36))</f>
        <v/>
      </c>
      <c r="U452" s="9" t="str">
        <f aca="false">IF(OR(L452&lt;&gt;"Email",K452="",P452&lt;&gt;"",M452="Opposition",M452="Pas intéressé",M452="Client",M452="Rendez-vous pris",M452="Numéro erroné"),"",WORKDAY(K452,5))</f>
        <v/>
      </c>
      <c r="V452" s="9" t="str">
        <f aca="false">IF(OR(P452="",Q452&lt;&gt;"",M452="Opposition",M452="Pas intéressé",M452="Client",M452="Rendez-vous pris",M452="Numéro erroné"),"",WORKDAY(P452,7))</f>
        <v/>
      </c>
      <c r="W452" s="7" t="str">
        <f aca="true">IF(M452="Opposition","Ne pas contacter",IF(AND(U452&lt;&gt;"",U452&lt;=TODAY()),"Relance 1 à envoyer",IF(AND(V452&lt;&gt;"",V452&lt;=TODAY()),"Relance 2 à envoyer",IF(AND(O452&lt;&gt;"",O452&lt;=TODAY()),"Rappel à faire",""))))</f>
        <v/>
      </c>
    </row>
    <row r="453" customFormat="false" ht="15" hidden="false" customHeight="false" outlineLevel="0" collapsed="false">
      <c r="A453" s="7" t="n">
        <v>452</v>
      </c>
      <c r="B453" s="8"/>
      <c r="C453" s="8"/>
      <c r="D453" s="7"/>
      <c r="E453" s="7"/>
      <c r="F453" s="8"/>
      <c r="G453" s="7"/>
      <c r="H453" s="7"/>
      <c r="I453" s="8"/>
      <c r="J453" s="9"/>
      <c r="K453" s="9"/>
      <c r="L453" s="7"/>
      <c r="M453" s="7"/>
      <c r="N453" s="8"/>
      <c r="O453" s="9"/>
      <c r="P453" s="9"/>
      <c r="Q453" s="9"/>
      <c r="R453" s="9"/>
      <c r="S453" s="8"/>
      <c r="T453" s="9" t="str">
        <f aca="false">IF(J453="","",EDATE(MAX(J453,K453,P453,Q453,R453),36))</f>
        <v/>
      </c>
      <c r="U453" s="9" t="str">
        <f aca="false">IF(OR(L453&lt;&gt;"Email",K453="",P453&lt;&gt;"",M453="Opposition",M453="Pas intéressé",M453="Client",M453="Rendez-vous pris",M453="Numéro erroné"),"",WORKDAY(K453,5))</f>
        <v/>
      </c>
      <c r="V453" s="9" t="str">
        <f aca="false">IF(OR(P453="",Q453&lt;&gt;"",M453="Opposition",M453="Pas intéressé",M453="Client",M453="Rendez-vous pris",M453="Numéro erroné"),"",WORKDAY(P453,7))</f>
        <v/>
      </c>
      <c r="W453" s="7" t="str">
        <f aca="true">IF(M453="Opposition","Ne pas contacter",IF(AND(U453&lt;&gt;"",U453&lt;=TODAY()),"Relance 1 à envoyer",IF(AND(V453&lt;&gt;"",V453&lt;=TODAY()),"Relance 2 à envoyer",IF(AND(O453&lt;&gt;"",O453&lt;=TODAY()),"Rappel à faire",""))))</f>
        <v/>
      </c>
    </row>
    <row r="454" customFormat="false" ht="15" hidden="false" customHeight="false" outlineLevel="0" collapsed="false">
      <c r="A454" s="7" t="n">
        <v>453</v>
      </c>
      <c r="B454" s="8"/>
      <c r="C454" s="8"/>
      <c r="D454" s="7"/>
      <c r="E454" s="7"/>
      <c r="F454" s="8"/>
      <c r="G454" s="7"/>
      <c r="H454" s="7"/>
      <c r="I454" s="8"/>
      <c r="J454" s="9"/>
      <c r="K454" s="9"/>
      <c r="L454" s="7"/>
      <c r="M454" s="7"/>
      <c r="N454" s="8"/>
      <c r="O454" s="9"/>
      <c r="P454" s="9"/>
      <c r="Q454" s="9"/>
      <c r="R454" s="9"/>
      <c r="S454" s="8"/>
      <c r="T454" s="9" t="str">
        <f aca="false">IF(J454="","",EDATE(MAX(J454,K454,P454,Q454,R454),36))</f>
        <v/>
      </c>
      <c r="U454" s="9" t="str">
        <f aca="false">IF(OR(L454&lt;&gt;"Email",K454="",P454&lt;&gt;"",M454="Opposition",M454="Pas intéressé",M454="Client",M454="Rendez-vous pris",M454="Numéro erroné"),"",WORKDAY(K454,5))</f>
        <v/>
      </c>
      <c r="V454" s="9" t="str">
        <f aca="false">IF(OR(P454="",Q454&lt;&gt;"",M454="Opposition",M454="Pas intéressé",M454="Client",M454="Rendez-vous pris",M454="Numéro erroné"),"",WORKDAY(P454,7))</f>
        <v/>
      </c>
      <c r="W454" s="7" t="str">
        <f aca="true">IF(M454="Opposition","Ne pas contacter",IF(AND(U454&lt;&gt;"",U454&lt;=TODAY()),"Relance 1 à envoyer",IF(AND(V454&lt;&gt;"",V454&lt;=TODAY()),"Relance 2 à envoyer",IF(AND(O454&lt;&gt;"",O454&lt;=TODAY()),"Rappel à faire",""))))</f>
        <v/>
      </c>
    </row>
    <row r="455" customFormat="false" ht="15" hidden="false" customHeight="false" outlineLevel="0" collapsed="false">
      <c r="A455" s="7" t="n">
        <v>454</v>
      </c>
      <c r="B455" s="8"/>
      <c r="C455" s="8"/>
      <c r="D455" s="7"/>
      <c r="E455" s="7"/>
      <c r="F455" s="8"/>
      <c r="G455" s="7"/>
      <c r="H455" s="7"/>
      <c r="I455" s="8"/>
      <c r="J455" s="9"/>
      <c r="K455" s="9"/>
      <c r="L455" s="7"/>
      <c r="M455" s="7"/>
      <c r="N455" s="8"/>
      <c r="O455" s="9"/>
      <c r="P455" s="9"/>
      <c r="Q455" s="9"/>
      <c r="R455" s="9"/>
      <c r="S455" s="8"/>
      <c r="T455" s="9" t="str">
        <f aca="false">IF(J455="","",EDATE(MAX(J455,K455,P455,Q455,R455),36))</f>
        <v/>
      </c>
      <c r="U455" s="9" t="str">
        <f aca="false">IF(OR(L455&lt;&gt;"Email",K455="",P455&lt;&gt;"",M455="Opposition",M455="Pas intéressé",M455="Client",M455="Rendez-vous pris",M455="Numéro erroné"),"",WORKDAY(K455,5))</f>
        <v/>
      </c>
      <c r="V455" s="9" t="str">
        <f aca="false">IF(OR(P455="",Q455&lt;&gt;"",M455="Opposition",M455="Pas intéressé",M455="Client",M455="Rendez-vous pris",M455="Numéro erroné"),"",WORKDAY(P455,7))</f>
        <v/>
      </c>
      <c r="W455" s="7" t="str">
        <f aca="true">IF(M455="Opposition","Ne pas contacter",IF(AND(U455&lt;&gt;"",U455&lt;=TODAY()),"Relance 1 à envoyer",IF(AND(V455&lt;&gt;"",V455&lt;=TODAY()),"Relance 2 à envoyer",IF(AND(O455&lt;&gt;"",O455&lt;=TODAY()),"Rappel à faire",""))))</f>
        <v/>
      </c>
    </row>
    <row r="456" customFormat="false" ht="15" hidden="false" customHeight="false" outlineLevel="0" collapsed="false">
      <c r="A456" s="7" t="n">
        <v>455</v>
      </c>
      <c r="B456" s="8"/>
      <c r="C456" s="8"/>
      <c r="D456" s="7"/>
      <c r="E456" s="7"/>
      <c r="F456" s="8"/>
      <c r="G456" s="7"/>
      <c r="H456" s="7"/>
      <c r="I456" s="8"/>
      <c r="J456" s="9"/>
      <c r="K456" s="9"/>
      <c r="L456" s="7"/>
      <c r="M456" s="7"/>
      <c r="N456" s="8"/>
      <c r="O456" s="9"/>
      <c r="P456" s="9"/>
      <c r="Q456" s="9"/>
      <c r="R456" s="9"/>
      <c r="S456" s="8"/>
      <c r="T456" s="9" t="str">
        <f aca="false">IF(J456="","",EDATE(MAX(J456,K456,P456,Q456,R456),36))</f>
        <v/>
      </c>
      <c r="U456" s="9" t="str">
        <f aca="false">IF(OR(L456&lt;&gt;"Email",K456="",P456&lt;&gt;"",M456="Opposition",M456="Pas intéressé",M456="Client",M456="Rendez-vous pris",M456="Numéro erroné"),"",WORKDAY(K456,5))</f>
        <v/>
      </c>
      <c r="V456" s="9" t="str">
        <f aca="false">IF(OR(P456="",Q456&lt;&gt;"",M456="Opposition",M456="Pas intéressé",M456="Client",M456="Rendez-vous pris",M456="Numéro erroné"),"",WORKDAY(P456,7))</f>
        <v/>
      </c>
      <c r="W456" s="7" t="str">
        <f aca="true">IF(M456="Opposition","Ne pas contacter",IF(AND(U456&lt;&gt;"",U456&lt;=TODAY()),"Relance 1 à envoyer",IF(AND(V456&lt;&gt;"",V456&lt;=TODAY()),"Relance 2 à envoyer",IF(AND(O456&lt;&gt;"",O456&lt;=TODAY()),"Rappel à faire",""))))</f>
        <v/>
      </c>
    </row>
    <row r="457" customFormat="false" ht="15" hidden="false" customHeight="false" outlineLevel="0" collapsed="false">
      <c r="A457" s="7" t="n">
        <v>456</v>
      </c>
      <c r="B457" s="8"/>
      <c r="C457" s="8"/>
      <c r="D457" s="7"/>
      <c r="E457" s="7"/>
      <c r="F457" s="8"/>
      <c r="G457" s="7"/>
      <c r="H457" s="7"/>
      <c r="I457" s="8"/>
      <c r="J457" s="9"/>
      <c r="K457" s="9"/>
      <c r="L457" s="7"/>
      <c r="M457" s="7"/>
      <c r="N457" s="8"/>
      <c r="O457" s="9"/>
      <c r="P457" s="9"/>
      <c r="Q457" s="9"/>
      <c r="R457" s="9"/>
      <c r="S457" s="8"/>
      <c r="T457" s="9" t="str">
        <f aca="false">IF(J457="","",EDATE(MAX(J457,K457,P457,Q457,R457),36))</f>
        <v/>
      </c>
      <c r="U457" s="9" t="str">
        <f aca="false">IF(OR(L457&lt;&gt;"Email",K457="",P457&lt;&gt;"",M457="Opposition",M457="Pas intéressé",M457="Client",M457="Rendez-vous pris",M457="Numéro erroné"),"",WORKDAY(K457,5))</f>
        <v/>
      </c>
      <c r="V457" s="9" t="str">
        <f aca="false">IF(OR(P457="",Q457&lt;&gt;"",M457="Opposition",M457="Pas intéressé",M457="Client",M457="Rendez-vous pris",M457="Numéro erroné"),"",WORKDAY(P457,7))</f>
        <v/>
      </c>
      <c r="W457" s="7" t="str">
        <f aca="true">IF(M457="Opposition","Ne pas contacter",IF(AND(U457&lt;&gt;"",U457&lt;=TODAY()),"Relance 1 à envoyer",IF(AND(V457&lt;&gt;"",V457&lt;=TODAY()),"Relance 2 à envoyer",IF(AND(O457&lt;&gt;"",O457&lt;=TODAY()),"Rappel à faire",""))))</f>
        <v/>
      </c>
    </row>
    <row r="458" customFormat="false" ht="15" hidden="false" customHeight="false" outlineLevel="0" collapsed="false">
      <c r="A458" s="7" t="n">
        <v>457</v>
      </c>
      <c r="B458" s="8"/>
      <c r="C458" s="8"/>
      <c r="D458" s="7"/>
      <c r="E458" s="7"/>
      <c r="F458" s="8"/>
      <c r="G458" s="7"/>
      <c r="H458" s="7"/>
      <c r="I458" s="8"/>
      <c r="J458" s="9"/>
      <c r="K458" s="9"/>
      <c r="L458" s="7"/>
      <c r="M458" s="7"/>
      <c r="N458" s="8"/>
      <c r="O458" s="9"/>
      <c r="P458" s="9"/>
      <c r="Q458" s="9"/>
      <c r="R458" s="9"/>
      <c r="S458" s="8"/>
      <c r="T458" s="9" t="str">
        <f aca="false">IF(J458="","",EDATE(MAX(J458,K458,P458,Q458,R458),36))</f>
        <v/>
      </c>
      <c r="U458" s="9" t="str">
        <f aca="false">IF(OR(L458&lt;&gt;"Email",K458="",P458&lt;&gt;"",M458="Opposition",M458="Pas intéressé",M458="Client",M458="Rendez-vous pris",M458="Numéro erroné"),"",WORKDAY(K458,5))</f>
        <v/>
      </c>
      <c r="V458" s="9" t="str">
        <f aca="false">IF(OR(P458="",Q458&lt;&gt;"",M458="Opposition",M458="Pas intéressé",M458="Client",M458="Rendez-vous pris",M458="Numéro erroné"),"",WORKDAY(P458,7))</f>
        <v/>
      </c>
      <c r="W458" s="7" t="str">
        <f aca="true">IF(M458="Opposition","Ne pas contacter",IF(AND(U458&lt;&gt;"",U458&lt;=TODAY()),"Relance 1 à envoyer",IF(AND(V458&lt;&gt;"",V458&lt;=TODAY()),"Relance 2 à envoyer",IF(AND(O458&lt;&gt;"",O458&lt;=TODAY()),"Rappel à faire",""))))</f>
        <v/>
      </c>
    </row>
    <row r="459" customFormat="false" ht="15" hidden="false" customHeight="false" outlineLevel="0" collapsed="false">
      <c r="A459" s="7" t="n">
        <v>458</v>
      </c>
      <c r="B459" s="8"/>
      <c r="C459" s="8"/>
      <c r="D459" s="7"/>
      <c r="E459" s="7"/>
      <c r="F459" s="8"/>
      <c r="G459" s="7"/>
      <c r="H459" s="7"/>
      <c r="I459" s="8"/>
      <c r="J459" s="9"/>
      <c r="K459" s="9"/>
      <c r="L459" s="7"/>
      <c r="M459" s="7"/>
      <c r="N459" s="8"/>
      <c r="O459" s="9"/>
      <c r="P459" s="9"/>
      <c r="Q459" s="9"/>
      <c r="R459" s="9"/>
      <c r="S459" s="8"/>
      <c r="T459" s="9" t="str">
        <f aca="false">IF(J459="","",EDATE(MAX(J459,K459,P459,Q459,R459),36))</f>
        <v/>
      </c>
      <c r="U459" s="9" t="str">
        <f aca="false">IF(OR(L459&lt;&gt;"Email",K459="",P459&lt;&gt;"",M459="Opposition",M459="Pas intéressé",M459="Client",M459="Rendez-vous pris",M459="Numéro erroné"),"",WORKDAY(K459,5))</f>
        <v/>
      </c>
      <c r="V459" s="9" t="str">
        <f aca="false">IF(OR(P459="",Q459&lt;&gt;"",M459="Opposition",M459="Pas intéressé",M459="Client",M459="Rendez-vous pris",M459="Numéro erroné"),"",WORKDAY(P459,7))</f>
        <v/>
      </c>
      <c r="W459" s="7" t="str">
        <f aca="true">IF(M459="Opposition","Ne pas contacter",IF(AND(U459&lt;&gt;"",U459&lt;=TODAY()),"Relance 1 à envoyer",IF(AND(V459&lt;&gt;"",V459&lt;=TODAY()),"Relance 2 à envoyer",IF(AND(O459&lt;&gt;"",O459&lt;=TODAY()),"Rappel à faire",""))))</f>
        <v/>
      </c>
    </row>
    <row r="460" customFormat="false" ht="15" hidden="false" customHeight="false" outlineLevel="0" collapsed="false">
      <c r="A460" s="7" t="n">
        <v>459</v>
      </c>
      <c r="B460" s="8"/>
      <c r="C460" s="8"/>
      <c r="D460" s="7"/>
      <c r="E460" s="7"/>
      <c r="F460" s="8"/>
      <c r="G460" s="7"/>
      <c r="H460" s="7"/>
      <c r="I460" s="8"/>
      <c r="J460" s="9"/>
      <c r="K460" s="9"/>
      <c r="L460" s="7"/>
      <c r="M460" s="7"/>
      <c r="N460" s="8"/>
      <c r="O460" s="9"/>
      <c r="P460" s="9"/>
      <c r="Q460" s="9"/>
      <c r="R460" s="9"/>
      <c r="S460" s="8"/>
      <c r="T460" s="9" t="str">
        <f aca="false">IF(J460="","",EDATE(MAX(J460,K460,P460,Q460,R460),36))</f>
        <v/>
      </c>
      <c r="U460" s="9" t="str">
        <f aca="false">IF(OR(L460&lt;&gt;"Email",K460="",P460&lt;&gt;"",M460="Opposition",M460="Pas intéressé",M460="Client",M460="Rendez-vous pris",M460="Numéro erroné"),"",WORKDAY(K460,5))</f>
        <v/>
      </c>
      <c r="V460" s="9" t="str">
        <f aca="false">IF(OR(P460="",Q460&lt;&gt;"",M460="Opposition",M460="Pas intéressé",M460="Client",M460="Rendez-vous pris",M460="Numéro erroné"),"",WORKDAY(P460,7))</f>
        <v/>
      </c>
      <c r="W460" s="7" t="str">
        <f aca="true">IF(M460="Opposition","Ne pas contacter",IF(AND(U460&lt;&gt;"",U460&lt;=TODAY()),"Relance 1 à envoyer",IF(AND(V460&lt;&gt;"",V460&lt;=TODAY()),"Relance 2 à envoyer",IF(AND(O460&lt;&gt;"",O460&lt;=TODAY()),"Rappel à faire",""))))</f>
        <v/>
      </c>
    </row>
    <row r="461" customFormat="false" ht="15" hidden="false" customHeight="false" outlineLevel="0" collapsed="false">
      <c r="A461" s="7" t="n">
        <v>460</v>
      </c>
      <c r="B461" s="8"/>
      <c r="C461" s="8"/>
      <c r="D461" s="7"/>
      <c r="E461" s="7"/>
      <c r="F461" s="8"/>
      <c r="G461" s="7"/>
      <c r="H461" s="7"/>
      <c r="I461" s="8"/>
      <c r="J461" s="9"/>
      <c r="K461" s="9"/>
      <c r="L461" s="7"/>
      <c r="M461" s="7"/>
      <c r="N461" s="8"/>
      <c r="O461" s="9"/>
      <c r="P461" s="9"/>
      <c r="Q461" s="9"/>
      <c r="R461" s="9"/>
      <c r="S461" s="8"/>
      <c r="T461" s="9" t="str">
        <f aca="false">IF(J461="","",EDATE(MAX(J461,K461,P461,Q461,R461),36))</f>
        <v/>
      </c>
      <c r="U461" s="9" t="str">
        <f aca="false">IF(OR(L461&lt;&gt;"Email",K461="",P461&lt;&gt;"",M461="Opposition",M461="Pas intéressé",M461="Client",M461="Rendez-vous pris",M461="Numéro erroné"),"",WORKDAY(K461,5))</f>
        <v/>
      </c>
      <c r="V461" s="9" t="str">
        <f aca="false">IF(OR(P461="",Q461&lt;&gt;"",M461="Opposition",M461="Pas intéressé",M461="Client",M461="Rendez-vous pris",M461="Numéro erroné"),"",WORKDAY(P461,7))</f>
        <v/>
      </c>
      <c r="W461" s="7" t="str">
        <f aca="true">IF(M461="Opposition","Ne pas contacter",IF(AND(U461&lt;&gt;"",U461&lt;=TODAY()),"Relance 1 à envoyer",IF(AND(V461&lt;&gt;"",V461&lt;=TODAY()),"Relance 2 à envoyer",IF(AND(O461&lt;&gt;"",O461&lt;=TODAY()),"Rappel à faire",""))))</f>
        <v/>
      </c>
    </row>
    <row r="462" customFormat="false" ht="15" hidden="false" customHeight="false" outlineLevel="0" collapsed="false">
      <c r="A462" s="7" t="n">
        <v>461</v>
      </c>
      <c r="B462" s="8"/>
      <c r="C462" s="8"/>
      <c r="D462" s="7"/>
      <c r="E462" s="7"/>
      <c r="F462" s="8"/>
      <c r="G462" s="7"/>
      <c r="H462" s="7"/>
      <c r="I462" s="8"/>
      <c r="J462" s="9"/>
      <c r="K462" s="9"/>
      <c r="L462" s="7"/>
      <c r="M462" s="7"/>
      <c r="N462" s="8"/>
      <c r="O462" s="9"/>
      <c r="P462" s="9"/>
      <c r="Q462" s="9"/>
      <c r="R462" s="9"/>
      <c r="S462" s="8"/>
      <c r="T462" s="9" t="str">
        <f aca="false">IF(J462="","",EDATE(MAX(J462,K462,P462,Q462,R462),36))</f>
        <v/>
      </c>
      <c r="U462" s="9" t="str">
        <f aca="false">IF(OR(L462&lt;&gt;"Email",K462="",P462&lt;&gt;"",M462="Opposition",M462="Pas intéressé",M462="Client",M462="Rendez-vous pris",M462="Numéro erroné"),"",WORKDAY(K462,5))</f>
        <v/>
      </c>
      <c r="V462" s="9" t="str">
        <f aca="false">IF(OR(P462="",Q462&lt;&gt;"",M462="Opposition",M462="Pas intéressé",M462="Client",M462="Rendez-vous pris",M462="Numéro erroné"),"",WORKDAY(P462,7))</f>
        <v/>
      </c>
      <c r="W462" s="7" t="str">
        <f aca="true">IF(M462="Opposition","Ne pas contacter",IF(AND(U462&lt;&gt;"",U462&lt;=TODAY()),"Relance 1 à envoyer",IF(AND(V462&lt;&gt;"",V462&lt;=TODAY()),"Relance 2 à envoyer",IF(AND(O462&lt;&gt;"",O462&lt;=TODAY()),"Rappel à faire",""))))</f>
        <v/>
      </c>
    </row>
    <row r="463" customFormat="false" ht="15" hidden="false" customHeight="false" outlineLevel="0" collapsed="false">
      <c r="A463" s="7" t="n">
        <v>462</v>
      </c>
      <c r="B463" s="8"/>
      <c r="C463" s="8"/>
      <c r="D463" s="7"/>
      <c r="E463" s="7"/>
      <c r="F463" s="8"/>
      <c r="G463" s="7"/>
      <c r="H463" s="7"/>
      <c r="I463" s="8"/>
      <c r="J463" s="9"/>
      <c r="K463" s="9"/>
      <c r="L463" s="7"/>
      <c r="M463" s="7"/>
      <c r="N463" s="8"/>
      <c r="O463" s="9"/>
      <c r="P463" s="9"/>
      <c r="Q463" s="9"/>
      <c r="R463" s="9"/>
      <c r="S463" s="8"/>
      <c r="T463" s="9" t="str">
        <f aca="false">IF(J463="","",EDATE(MAX(J463,K463,P463,Q463,R463),36))</f>
        <v/>
      </c>
      <c r="U463" s="9" t="str">
        <f aca="false">IF(OR(L463&lt;&gt;"Email",K463="",P463&lt;&gt;"",M463="Opposition",M463="Pas intéressé",M463="Client",M463="Rendez-vous pris",M463="Numéro erroné"),"",WORKDAY(K463,5))</f>
        <v/>
      </c>
      <c r="V463" s="9" t="str">
        <f aca="false">IF(OR(P463="",Q463&lt;&gt;"",M463="Opposition",M463="Pas intéressé",M463="Client",M463="Rendez-vous pris",M463="Numéro erroné"),"",WORKDAY(P463,7))</f>
        <v/>
      </c>
      <c r="W463" s="7" t="str">
        <f aca="true">IF(M463="Opposition","Ne pas contacter",IF(AND(U463&lt;&gt;"",U463&lt;=TODAY()),"Relance 1 à envoyer",IF(AND(V463&lt;&gt;"",V463&lt;=TODAY()),"Relance 2 à envoyer",IF(AND(O463&lt;&gt;"",O463&lt;=TODAY()),"Rappel à faire",""))))</f>
        <v/>
      </c>
    </row>
    <row r="464" customFormat="false" ht="15" hidden="false" customHeight="false" outlineLevel="0" collapsed="false">
      <c r="A464" s="7" t="n">
        <v>463</v>
      </c>
      <c r="B464" s="8"/>
      <c r="C464" s="8"/>
      <c r="D464" s="7"/>
      <c r="E464" s="7"/>
      <c r="F464" s="8"/>
      <c r="G464" s="7"/>
      <c r="H464" s="7"/>
      <c r="I464" s="8"/>
      <c r="J464" s="9"/>
      <c r="K464" s="9"/>
      <c r="L464" s="7"/>
      <c r="M464" s="7"/>
      <c r="N464" s="8"/>
      <c r="O464" s="9"/>
      <c r="P464" s="9"/>
      <c r="Q464" s="9"/>
      <c r="R464" s="9"/>
      <c r="S464" s="8"/>
      <c r="T464" s="9" t="str">
        <f aca="false">IF(J464="","",EDATE(MAX(J464,K464,P464,Q464,R464),36))</f>
        <v/>
      </c>
      <c r="U464" s="9" t="str">
        <f aca="false">IF(OR(L464&lt;&gt;"Email",K464="",P464&lt;&gt;"",M464="Opposition",M464="Pas intéressé",M464="Client",M464="Rendez-vous pris",M464="Numéro erroné"),"",WORKDAY(K464,5))</f>
        <v/>
      </c>
      <c r="V464" s="9" t="str">
        <f aca="false">IF(OR(P464="",Q464&lt;&gt;"",M464="Opposition",M464="Pas intéressé",M464="Client",M464="Rendez-vous pris",M464="Numéro erroné"),"",WORKDAY(P464,7))</f>
        <v/>
      </c>
      <c r="W464" s="7" t="str">
        <f aca="true">IF(M464="Opposition","Ne pas contacter",IF(AND(U464&lt;&gt;"",U464&lt;=TODAY()),"Relance 1 à envoyer",IF(AND(V464&lt;&gt;"",V464&lt;=TODAY()),"Relance 2 à envoyer",IF(AND(O464&lt;&gt;"",O464&lt;=TODAY()),"Rappel à faire",""))))</f>
        <v/>
      </c>
    </row>
    <row r="465" customFormat="false" ht="15" hidden="false" customHeight="false" outlineLevel="0" collapsed="false">
      <c r="A465" s="7" t="n">
        <v>464</v>
      </c>
      <c r="B465" s="8"/>
      <c r="C465" s="8"/>
      <c r="D465" s="7"/>
      <c r="E465" s="7"/>
      <c r="F465" s="8"/>
      <c r="G465" s="7"/>
      <c r="H465" s="7"/>
      <c r="I465" s="8"/>
      <c r="J465" s="9"/>
      <c r="K465" s="9"/>
      <c r="L465" s="7"/>
      <c r="M465" s="7"/>
      <c r="N465" s="8"/>
      <c r="O465" s="9"/>
      <c r="P465" s="9"/>
      <c r="Q465" s="9"/>
      <c r="R465" s="9"/>
      <c r="S465" s="8"/>
      <c r="T465" s="9" t="str">
        <f aca="false">IF(J465="","",EDATE(MAX(J465,K465,P465,Q465,R465),36))</f>
        <v/>
      </c>
      <c r="U465" s="9" t="str">
        <f aca="false">IF(OR(L465&lt;&gt;"Email",K465="",P465&lt;&gt;"",M465="Opposition",M465="Pas intéressé",M465="Client",M465="Rendez-vous pris",M465="Numéro erroné"),"",WORKDAY(K465,5))</f>
        <v/>
      </c>
      <c r="V465" s="9" t="str">
        <f aca="false">IF(OR(P465="",Q465&lt;&gt;"",M465="Opposition",M465="Pas intéressé",M465="Client",M465="Rendez-vous pris",M465="Numéro erroné"),"",WORKDAY(P465,7))</f>
        <v/>
      </c>
      <c r="W465" s="7" t="str">
        <f aca="true">IF(M465="Opposition","Ne pas contacter",IF(AND(U465&lt;&gt;"",U465&lt;=TODAY()),"Relance 1 à envoyer",IF(AND(V465&lt;&gt;"",V465&lt;=TODAY()),"Relance 2 à envoyer",IF(AND(O465&lt;&gt;"",O465&lt;=TODAY()),"Rappel à faire",""))))</f>
        <v/>
      </c>
    </row>
    <row r="466" customFormat="false" ht="15" hidden="false" customHeight="false" outlineLevel="0" collapsed="false">
      <c r="A466" s="7" t="n">
        <v>465</v>
      </c>
      <c r="B466" s="8"/>
      <c r="C466" s="8"/>
      <c r="D466" s="7"/>
      <c r="E466" s="7"/>
      <c r="F466" s="8"/>
      <c r="G466" s="7"/>
      <c r="H466" s="7"/>
      <c r="I466" s="8"/>
      <c r="J466" s="9"/>
      <c r="K466" s="9"/>
      <c r="L466" s="7"/>
      <c r="M466" s="7"/>
      <c r="N466" s="8"/>
      <c r="O466" s="9"/>
      <c r="P466" s="9"/>
      <c r="Q466" s="9"/>
      <c r="R466" s="9"/>
      <c r="S466" s="8"/>
      <c r="T466" s="9" t="str">
        <f aca="false">IF(J466="","",EDATE(MAX(J466,K466,P466,Q466,R466),36))</f>
        <v/>
      </c>
      <c r="U466" s="9" t="str">
        <f aca="false">IF(OR(L466&lt;&gt;"Email",K466="",P466&lt;&gt;"",M466="Opposition",M466="Pas intéressé",M466="Client",M466="Rendez-vous pris",M466="Numéro erroné"),"",WORKDAY(K466,5))</f>
        <v/>
      </c>
      <c r="V466" s="9" t="str">
        <f aca="false">IF(OR(P466="",Q466&lt;&gt;"",M466="Opposition",M466="Pas intéressé",M466="Client",M466="Rendez-vous pris",M466="Numéro erroné"),"",WORKDAY(P466,7))</f>
        <v/>
      </c>
      <c r="W466" s="7" t="str">
        <f aca="true">IF(M466="Opposition","Ne pas contacter",IF(AND(U466&lt;&gt;"",U466&lt;=TODAY()),"Relance 1 à envoyer",IF(AND(V466&lt;&gt;"",V466&lt;=TODAY()),"Relance 2 à envoyer",IF(AND(O466&lt;&gt;"",O466&lt;=TODAY()),"Rappel à faire",""))))</f>
        <v/>
      </c>
    </row>
    <row r="467" customFormat="false" ht="15" hidden="false" customHeight="false" outlineLevel="0" collapsed="false">
      <c r="A467" s="7" t="n">
        <v>466</v>
      </c>
      <c r="B467" s="8"/>
      <c r="C467" s="8"/>
      <c r="D467" s="7"/>
      <c r="E467" s="7"/>
      <c r="F467" s="8"/>
      <c r="G467" s="7"/>
      <c r="H467" s="7"/>
      <c r="I467" s="8"/>
      <c r="J467" s="9"/>
      <c r="K467" s="9"/>
      <c r="L467" s="7"/>
      <c r="M467" s="7"/>
      <c r="N467" s="8"/>
      <c r="O467" s="9"/>
      <c r="P467" s="9"/>
      <c r="Q467" s="9"/>
      <c r="R467" s="9"/>
      <c r="S467" s="8"/>
      <c r="T467" s="9" t="str">
        <f aca="false">IF(J467="","",EDATE(MAX(J467,K467,P467,Q467,R467),36))</f>
        <v/>
      </c>
      <c r="U467" s="9" t="str">
        <f aca="false">IF(OR(L467&lt;&gt;"Email",K467="",P467&lt;&gt;"",M467="Opposition",M467="Pas intéressé",M467="Client",M467="Rendez-vous pris",M467="Numéro erroné"),"",WORKDAY(K467,5))</f>
        <v/>
      </c>
      <c r="V467" s="9" t="str">
        <f aca="false">IF(OR(P467="",Q467&lt;&gt;"",M467="Opposition",M467="Pas intéressé",M467="Client",M467="Rendez-vous pris",M467="Numéro erroné"),"",WORKDAY(P467,7))</f>
        <v/>
      </c>
      <c r="W467" s="7" t="str">
        <f aca="true">IF(M467="Opposition","Ne pas contacter",IF(AND(U467&lt;&gt;"",U467&lt;=TODAY()),"Relance 1 à envoyer",IF(AND(V467&lt;&gt;"",V467&lt;=TODAY()),"Relance 2 à envoyer",IF(AND(O467&lt;&gt;"",O467&lt;=TODAY()),"Rappel à faire",""))))</f>
        <v/>
      </c>
    </row>
    <row r="468" customFormat="false" ht="15" hidden="false" customHeight="false" outlineLevel="0" collapsed="false">
      <c r="A468" s="7" t="n">
        <v>467</v>
      </c>
      <c r="B468" s="8"/>
      <c r="C468" s="8"/>
      <c r="D468" s="7"/>
      <c r="E468" s="7"/>
      <c r="F468" s="8"/>
      <c r="G468" s="7"/>
      <c r="H468" s="7"/>
      <c r="I468" s="8"/>
      <c r="J468" s="9"/>
      <c r="K468" s="9"/>
      <c r="L468" s="7"/>
      <c r="M468" s="7"/>
      <c r="N468" s="8"/>
      <c r="O468" s="9"/>
      <c r="P468" s="9"/>
      <c r="Q468" s="9"/>
      <c r="R468" s="9"/>
      <c r="S468" s="8"/>
      <c r="T468" s="9" t="str">
        <f aca="false">IF(J468="","",EDATE(MAX(J468,K468,P468,Q468,R468),36))</f>
        <v/>
      </c>
      <c r="U468" s="9" t="str">
        <f aca="false">IF(OR(L468&lt;&gt;"Email",K468="",P468&lt;&gt;"",M468="Opposition",M468="Pas intéressé",M468="Client",M468="Rendez-vous pris",M468="Numéro erroné"),"",WORKDAY(K468,5))</f>
        <v/>
      </c>
      <c r="V468" s="9" t="str">
        <f aca="false">IF(OR(P468="",Q468&lt;&gt;"",M468="Opposition",M468="Pas intéressé",M468="Client",M468="Rendez-vous pris",M468="Numéro erroné"),"",WORKDAY(P468,7))</f>
        <v/>
      </c>
      <c r="W468" s="7" t="str">
        <f aca="true">IF(M468="Opposition","Ne pas contacter",IF(AND(U468&lt;&gt;"",U468&lt;=TODAY()),"Relance 1 à envoyer",IF(AND(V468&lt;&gt;"",V468&lt;=TODAY()),"Relance 2 à envoyer",IF(AND(O468&lt;&gt;"",O468&lt;=TODAY()),"Rappel à faire",""))))</f>
        <v/>
      </c>
    </row>
    <row r="469" customFormat="false" ht="15" hidden="false" customHeight="false" outlineLevel="0" collapsed="false">
      <c r="A469" s="7" t="n">
        <v>468</v>
      </c>
      <c r="B469" s="8"/>
      <c r="C469" s="8"/>
      <c r="D469" s="7"/>
      <c r="E469" s="7"/>
      <c r="F469" s="8"/>
      <c r="G469" s="7"/>
      <c r="H469" s="7"/>
      <c r="I469" s="8"/>
      <c r="J469" s="9"/>
      <c r="K469" s="9"/>
      <c r="L469" s="7"/>
      <c r="M469" s="7"/>
      <c r="N469" s="8"/>
      <c r="O469" s="9"/>
      <c r="P469" s="9"/>
      <c r="Q469" s="9"/>
      <c r="R469" s="9"/>
      <c r="S469" s="8"/>
      <c r="T469" s="9" t="str">
        <f aca="false">IF(J469="","",EDATE(MAX(J469,K469,P469,Q469,R469),36))</f>
        <v/>
      </c>
      <c r="U469" s="9" t="str">
        <f aca="false">IF(OR(L469&lt;&gt;"Email",K469="",P469&lt;&gt;"",M469="Opposition",M469="Pas intéressé",M469="Client",M469="Rendez-vous pris",M469="Numéro erroné"),"",WORKDAY(K469,5))</f>
        <v/>
      </c>
      <c r="V469" s="9" t="str">
        <f aca="false">IF(OR(P469="",Q469&lt;&gt;"",M469="Opposition",M469="Pas intéressé",M469="Client",M469="Rendez-vous pris",M469="Numéro erroné"),"",WORKDAY(P469,7))</f>
        <v/>
      </c>
      <c r="W469" s="7" t="str">
        <f aca="true">IF(M469="Opposition","Ne pas contacter",IF(AND(U469&lt;&gt;"",U469&lt;=TODAY()),"Relance 1 à envoyer",IF(AND(V469&lt;&gt;"",V469&lt;=TODAY()),"Relance 2 à envoyer",IF(AND(O469&lt;&gt;"",O469&lt;=TODAY()),"Rappel à faire",""))))</f>
        <v/>
      </c>
    </row>
    <row r="470" customFormat="false" ht="15" hidden="false" customHeight="false" outlineLevel="0" collapsed="false">
      <c r="A470" s="7" t="n">
        <v>469</v>
      </c>
      <c r="B470" s="8"/>
      <c r="C470" s="8"/>
      <c r="D470" s="7"/>
      <c r="E470" s="7"/>
      <c r="F470" s="8"/>
      <c r="G470" s="7"/>
      <c r="H470" s="7"/>
      <c r="I470" s="8"/>
      <c r="J470" s="9"/>
      <c r="K470" s="9"/>
      <c r="L470" s="7"/>
      <c r="M470" s="7"/>
      <c r="N470" s="8"/>
      <c r="O470" s="9"/>
      <c r="P470" s="9"/>
      <c r="Q470" s="9"/>
      <c r="R470" s="9"/>
      <c r="S470" s="8"/>
      <c r="T470" s="9" t="str">
        <f aca="false">IF(J470="","",EDATE(MAX(J470,K470,P470,Q470,R470),36))</f>
        <v/>
      </c>
      <c r="U470" s="9" t="str">
        <f aca="false">IF(OR(L470&lt;&gt;"Email",K470="",P470&lt;&gt;"",M470="Opposition",M470="Pas intéressé",M470="Client",M470="Rendez-vous pris",M470="Numéro erroné"),"",WORKDAY(K470,5))</f>
        <v/>
      </c>
      <c r="V470" s="9" t="str">
        <f aca="false">IF(OR(P470="",Q470&lt;&gt;"",M470="Opposition",M470="Pas intéressé",M470="Client",M470="Rendez-vous pris",M470="Numéro erroné"),"",WORKDAY(P470,7))</f>
        <v/>
      </c>
      <c r="W470" s="7" t="str">
        <f aca="true">IF(M470="Opposition","Ne pas contacter",IF(AND(U470&lt;&gt;"",U470&lt;=TODAY()),"Relance 1 à envoyer",IF(AND(V470&lt;&gt;"",V470&lt;=TODAY()),"Relance 2 à envoyer",IF(AND(O470&lt;&gt;"",O470&lt;=TODAY()),"Rappel à faire",""))))</f>
        <v/>
      </c>
    </row>
    <row r="471" customFormat="false" ht="15" hidden="false" customHeight="false" outlineLevel="0" collapsed="false">
      <c r="A471" s="7" t="n">
        <v>470</v>
      </c>
      <c r="B471" s="8"/>
      <c r="C471" s="8"/>
      <c r="D471" s="7"/>
      <c r="E471" s="7"/>
      <c r="F471" s="8"/>
      <c r="G471" s="7"/>
      <c r="H471" s="7"/>
      <c r="I471" s="8"/>
      <c r="J471" s="9"/>
      <c r="K471" s="9"/>
      <c r="L471" s="7"/>
      <c r="M471" s="7"/>
      <c r="N471" s="8"/>
      <c r="O471" s="9"/>
      <c r="P471" s="9"/>
      <c r="Q471" s="9"/>
      <c r="R471" s="9"/>
      <c r="S471" s="8"/>
      <c r="T471" s="9" t="str">
        <f aca="false">IF(J471="","",EDATE(MAX(J471,K471,P471,Q471,R471),36))</f>
        <v/>
      </c>
      <c r="U471" s="9" t="str">
        <f aca="false">IF(OR(L471&lt;&gt;"Email",K471="",P471&lt;&gt;"",M471="Opposition",M471="Pas intéressé",M471="Client",M471="Rendez-vous pris",M471="Numéro erroné"),"",WORKDAY(K471,5))</f>
        <v/>
      </c>
      <c r="V471" s="9" t="str">
        <f aca="false">IF(OR(P471="",Q471&lt;&gt;"",M471="Opposition",M471="Pas intéressé",M471="Client",M471="Rendez-vous pris",M471="Numéro erroné"),"",WORKDAY(P471,7))</f>
        <v/>
      </c>
      <c r="W471" s="7" t="str">
        <f aca="true">IF(M471="Opposition","Ne pas contacter",IF(AND(U471&lt;&gt;"",U471&lt;=TODAY()),"Relance 1 à envoyer",IF(AND(V471&lt;&gt;"",V471&lt;=TODAY()),"Relance 2 à envoyer",IF(AND(O471&lt;&gt;"",O471&lt;=TODAY()),"Rappel à faire",""))))</f>
        <v/>
      </c>
    </row>
    <row r="472" customFormat="false" ht="15" hidden="false" customHeight="false" outlineLevel="0" collapsed="false">
      <c r="A472" s="7" t="n">
        <v>471</v>
      </c>
      <c r="B472" s="8"/>
      <c r="C472" s="8"/>
      <c r="D472" s="7"/>
      <c r="E472" s="7"/>
      <c r="F472" s="8"/>
      <c r="G472" s="7"/>
      <c r="H472" s="7"/>
      <c r="I472" s="8"/>
      <c r="J472" s="9"/>
      <c r="K472" s="9"/>
      <c r="L472" s="7"/>
      <c r="M472" s="7"/>
      <c r="N472" s="8"/>
      <c r="O472" s="9"/>
      <c r="P472" s="9"/>
      <c r="Q472" s="9"/>
      <c r="R472" s="9"/>
      <c r="S472" s="8"/>
      <c r="T472" s="9" t="str">
        <f aca="false">IF(J472="","",EDATE(MAX(J472,K472,P472,Q472,R472),36))</f>
        <v/>
      </c>
      <c r="U472" s="9" t="str">
        <f aca="false">IF(OR(L472&lt;&gt;"Email",K472="",P472&lt;&gt;"",M472="Opposition",M472="Pas intéressé",M472="Client",M472="Rendez-vous pris",M472="Numéro erroné"),"",WORKDAY(K472,5))</f>
        <v/>
      </c>
      <c r="V472" s="9" t="str">
        <f aca="false">IF(OR(P472="",Q472&lt;&gt;"",M472="Opposition",M472="Pas intéressé",M472="Client",M472="Rendez-vous pris",M472="Numéro erroné"),"",WORKDAY(P472,7))</f>
        <v/>
      </c>
      <c r="W472" s="7" t="str">
        <f aca="true">IF(M472="Opposition","Ne pas contacter",IF(AND(U472&lt;&gt;"",U472&lt;=TODAY()),"Relance 1 à envoyer",IF(AND(V472&lt;&gt;"",V472&lt;=TODAY()),"Relance 2 à envoyer",IF(AND(O472&lt;&gt;"",O472&lt;=TODAY()),"Rappel à faire",""))))</f>
        <v/>
      </c>
    </row>
    <row r="473" customFormat="false" ht="15" hidden="false" customHeight="false" outlineLevel="0" collapsed="false">
      <c r="A473" s="7" t="n">
        <v>472</v>
      </c>
      <c r="B473" s="8"/>
      <c r="C473" s="8"/>
      <c r="D473" s="7"/>
      <c r="E473" s="7"/>
      <c r="F473" s="8"/>
      <c r="G473" s="7"/>
      <c r="H473" s="7"/>
      <c r="I473" s="8"/>
      <c r="J473" s="9"/>
      <c r="K473" s="9"/>
      <c r="L473" s="7"/>
      <c r="M473" s="7"/>
      <c r="N473" s="8"/>
      <c r="O473" s="9"/>
      <c r="P473" s="9"/>
      <c r="Q473" s="9"/>
      <c r="R473" s="9"/>
      <c r="S473" s="8"/>
      <c r="T473" s="9" t="str">
        <f aca="false">IF(J473="","",EDATE(MAX(J473,K473,P473,Q473,R473),36))</f>
        <v/>
      </c>
      <c r="U473" s="9" t="str">
        <f aca="false">IF(OR(L473&lt;&gt;"Email",K473="",P473&lt;&gt;"",M473="Opposition",M473="Pas intéressé",M473="Client",M473="Rendez-vous pris",M473="Numéro erroné"),"",WORKDAY(K473,5))</f>
        <v/>
      </c>
      <c r="V473" s="9" t="str">
        <f aca="false">IF(OR(P473="",Q473&lt;&gt;"",M473="Opposition",M473="Pas intéressé",M473="Client",M473="Rendez-vous pris",M473="Numéro erroné"),"",WORKDAY(P473,7))</f>
        <v/>
      </c>
      <c r="W473" s="7" t="str">
        <f aca="true">IF(M473="Opposition","Ne pas contacter",IF(AND(U473&lt;&gt;"",U473&lt;=TODAY()),"Relance 1 à envoyer",IF(AND(V473&lt;&gt;"",V473&lt;=TODAY()),"Relance 2 à envoyer",IF(AND(O473&lt;&gt;"",O473&lt;=TODAY()),"Rappel à faire",""))))</f>
        <v/>
      </c>
    </row>
    <row r="474" customFormat="false" ht="15" hidden="false" customHeight="false" outlineLevel="0" collapsed="false">
      <c r="A474" s="7" t="n">
        <v>473</v>
      </c>
      <c r="B474" s="8"/>
      <c r="C474" s="8"/>
      <c r="D474" s="7"/>
      <c r="E474" s="7"/>
      <c r="F474" s="8"/>
      <c r="G474" s="7"/>
      <c r="H474" s="7"/>
      <c r="I474" s="8"/>
      <c r="J474" s="9"/>
      <c r="K474" s="9"/>
      <c r="L474" s="7"/>
      <c r="M474" s="7"/>
      <c r="N474" s="8"/>
      <c r="O474" s="9"/>
      <c r="P474" s="9"/>
      <c r="Q474" s="9"/>
      <c r="R474" s="9"/>
      <c r="S474" s="8"/>
      <c r="T474" s="9" t="str">
        <f aca="false">IF(J474="","",EDATE(MAX(J474,K474,P474,Q474,R474),36))</f>
        <v/>
      </c>
      <c r="U474" s="9" t="str">
        <f aca="false">IF(OR(L474&lt;&gt;"Email",K474="",P474&lt;&gt;"",M474="Opposition",M474="Pas intéressé",M474="Client",M474="Rendez-vous pris",M474="Numéro erroné"),"",WORKDAY(K474,5))</f>
        <v/>
      </c>
      <c r="V474" s="9" t="str">
        <f aca="false">IF(OR(P474="",Q474&lt;&gt;"",M474="Opposition",M474="Pas intéressé",M474="Client",M474="Rendez-vous pris",M474="Numéro erroné"),"",WORKDAY(P474,7))</f>
        <v/>
      </c>
      <c r="W474" s="7" t="str">
        <f aca="true">IF(M474="Opposition","Ne pas contacter",IF(AND(U474&lt;&gt;"",U474&lt;=TODAY()),"Relance 1 à envoyer",IF(AND(V474&lt;&gt;"",V474&lt;=TODAY()),"Relance 2 à envoyer",IF(AND(O474&lt;&gt;"",O474&lt;=TODAY()),"Rappel à faire",""))))</f>
        <v/>
      </c>
    </row>
    <row r="475" customFormat="false" ht="15" hidden="false" customHeight="false" outlineLevel="0" collapsed="false">
      <c r="A475" s="7" t="n">
        <v>474</v>
      </c>
      <c r="B475" s="8"/>
      <c r="C475" s="8"/>
      <c r="D475" s="7"/>
      <c r="E475" s="7"/>
      <c r="F475" s="8"/>
      <c r="G475" s="7"/>
      <c r="H475" s="7"/>
      <c r="I475" s="8"/>
      <c r="J475" s="9"/>
      <c r="K475" s="9"/>
      <c r="L475" s="7"/>
      <c r="M475" s="7"/>
      <c r="N475" s="8"/>
      <c r="O475" s="9"/>
      <c r="P475" s="9"/>
      <c r="Q475" s="9"/>
      <c r="R475" s="9"/>
      <c r="S475" s="8"/>
      <c r="T475" s="9" t="str">
        <f aca="false">IF(J475="","",EDATE(MAX(J475,K475,P475,Q475,R475),36))</f>
        <v/>
      </c>
      <c r="U475" s="9" t="str">
        <f aca="false">IF(OR(L475&lt;&gt;"Email",K475="",P475&lt;&gt;"",M475="Opposition",M475="Pas intéressé",M475="Client",M475="Rendez-vous pris",M475="Numéro erroné"),"",WORKDAY(K475,5))</f>
        <v/>
      </c>
      <c r="V475" s="9" t="str">
        <f aca="false">IF(OR(P475="",Q475&lt;&gt;"",M475="Opposition",M475="Pas intéressé",M475="Client",M475="Rendez-vous pris",M475="Numéro erroné"),"",WORKDAY(P475,7))</f>
        <v/>
      </c>
      <c r="W475" s="7" t="str">
        <f aca="true">IF(M475="Opposition","Ne pas contacter",IF(AND(U475&lt;&gt;"",U475&lt;=TODAY()),"Relance 1 à envoyer",IF(AND(V475&lt;&gt;"",V475&lt;=TODAY()),"Relance 2 à envoyer",IF(AND(O475&lt;&gt;"",O475&lt;=TODAY()),"Rappel à faire",""))))</f>
        <v/>
      </c>
    </row>
    <row r="476" customFormat="false" ht="15" hidden="false" customHeight="false" outlineLevel="0" collapsed="false">
      <c r="A476" s="7" t="n">
        <v>475</v>
      </c>
      <c r="B476" s="8"/>
      <c r="C476" s="8"/>
      <c r="D476" s="7"/>
      <c r="E476" s="7"/>
      <c r="F476" s="8"/>
      <c r="G476" s="7"/>
      <c r="H476" s="7"/>
      <c r="I476" s="8"/>
      <c r="J476" s="9"/>
      <c r="K476" s="9"/>
      <c r="L476" s="7"/>
      <c r="M476" s="7"/>
      <c r="N476" s="8"/>
      <c r="O476" s="9"/>
      <c r="P476" s="9"/>
      <c r="Q476" s="9"/>
      <c r="R476" s="9"/>
      <c r="S476" s="8"/>
      <c r="T476" s="9" t="str">
        <f aca="false">IF(J476="","",EDATE(MAX(J476,K476,P476,Q476,R476),36))</f>
        <v/>
      </c>
      <c r="U476" s="9" t="str">
        <f aca="false">IF(OR(L476&lt;&gt;"Email",K476="",P476&lt;&gt;"",M476="Opposition",M476="Pas intéressé",M476="Client",M476="Rendez-vous pris",M476="Numéro erroné"),"",WORKDAY(K476,5))</f>
        <v/>
      </c>
      <c r="V476" s="9" t="str">
        <f aca="false">IF(OR(P476="",Q476&lt;&gt;"",M476="Opposition",M476="Pas intéressé",M476="Client",M476="Rendez-vous pris",M476="Numéro erroné"),"",WORKDAY(P476,7))</f>
        <v/>
      </c>
      <c r="W476" s="7" t="str">
        <f aca="true">IF(M476="Opposition","Ne pas contacter",IF(AND(U476&lt;&gt;"",U476&lt;=TODAY()),"Relance 1 à envoyer",IF(AND(V476&lt;&gt;"",V476&lt;=TODAY()),"Relance 2 à envoyer",IF(AND(O476&lt;&gt;"",O476&lt;=TODAY()),"Rappel à faire",""))))</f>
        <v/>
      </c>
    </row>
    <row r="477" customFormat="false" ht="15" hidden="false" customHeight="false" outlineLevel="0" collapsed="false">
      <c r="A477" s="7" t="n">
        <v>476</v>
      </c>
      <c r="B477" s="8"/>
      <c r="C477" s="8"/>
      <c r="D477" s="7"/>
      <c r="E477" s="7"/>
      <c r="F477" s="8"/>
      <c r="G477" s="7"/>
      <c r="H477" s="7"/>
      <c r="I477" s="8"/>
      <c r="J477" s="9"/>
      <c r="K477" s="9"/>
      <c r="L477" s="7"/>
      <c r="M477" s="7"/>
      <c r="N477" s="8"/>
      <c r="O477" s="9"/>
      <c r="P477" s="9"/>
      <c r="Q477" s="9"/>
      <c r="R477" s="9"/>
      <c r="S477" s="8"/>
      <c r="T477" s="9" t="str">
        <f aca="false">IF(J477="","",EDATE(MAX(J477,K477,P477,Q477,R477),36))</f>
        <v/>
      </c>
      <c r="U477" s="9" t="str">
        <f aca="false">IF(OR(L477&lt;&gt;"Email",K477="",P477&lt;&gt;"",M477="Opposition",M477="Pas intéressé",M477="Client",M477="Rendez-vous pris",M477="Numéro erroné"),"",WORKDAY(K477,5))</f>
        <v/>
      </c>
      <c r="V477" s="9" t="str">
        <f aca="false">IF(OR(P477="",Q477&lt;&gt;"",M477="Opposition",M477="Pas intéressé",M477="Client",M477="Rendez-vous pris",M477="Numéro erroné"),"",WORKDAY(P477,7))</f>
        <v/>
      </c>
      <c r="W477" s="7" t="str">
        <f aca="true">IF(M477="Opposition","Ne pas contacter",IF(AND(U477&lt;&gt;"",U477&lt;=TODAY()),"Relance 1 à envoyer",IF(AND(V477&lt;&gt;"",V477&lt;=TODAY()),"Relance 2 à envoyer",IF(AND(O477&lt;&gt;"",O477&lt;=TODAY()),"Rappel à faire",""))))</f>
        <v/>
      </c>
    </row>
    <row r="478" customFormat="false" ht="15" hidden="false" customHeight="false" outlineLevel="0" collapsed="false">
      <c r="A478" s="7" t="n">
        <v>477</v>
      </c>
      <c r="B478" s="8"/>
      <c r="C478" s="8"/>
      <c r="D478" s="7"/>
      <c r="E478" s="7"/>
      <c r="F478" s="8"/>
      <c r="G478" s="7"/>
      <c r="H478" s="7"/>
      <c r="I478" s="8"/>
      <c r="J478" s="9"/>
      <c r="K478" s="9"/>
      <c r="L478" s="7"/>
      <c r="M478" s="7"/>
      <c r="N478" s="8"/>
      <c r="O478" s="9"/>
      <c r="P478" s="9"/>
      <c r="Q478" s="9"/>
      <c r="R478" s="9"/>
      <c r="S478" s="8"/>
      <c r="T478" s="9" t="str">
        <f aca="false">IF(J478="","",EDATE(MAX(J478,K478,P478,Q478,R478),36))</f>
        <v/>
      </c>
      <c r="U478" s="9" t="str">
        <f aca="false">IF(OR(L478&lt;&gt;"Email",K478="",P478&lt;&gt;"",M478="Opposition",M478="Pas intéressé",M478="Client",M478="Rendez-vous pris",M478="Numéro erroné"),"",WORKDAY(K478,5))</f>
        <v/>
      </c>
      <c r="V478" s="9" t="str">
        <f aca="false">IF(OR(P478="",Q478&lt;&gt;"",M478="Opposition",M478="Pas intéressé",M478="Client",M478="Rendez-vous pris",M478="Numéro erroné"),"",WORKDAY(P478,7))</f>
        <v/>
      </c>
      <c r="W478" s="7" t="str">
        <f aca="true">IF(M478="Opposition","Ne pas contacter",IF(AND(U478&lt;&gt;"",U478&lt;=TODAY()),"Relance 1 à envoyer",IF(AND(V478&lt;&gt;"",V478&lt;=TODAY()),"Relance 2 à envoyer",IF(AND(O478&lt;&gt;"",O478&lt;=TODAY()),"Rappel à faire",""))))</f>
        <v/>
      </c>
    </row>
    <row r="479" customFormat="false" ht="15" hidden="false" customHeight="false" outlineLevel="0" collapsed="false">
      <c r="A479" s="7" t="n">
        <v>478</v>
      </c>
      <c r="B479" s="8"/>
      <c r="C479" s="8"/>
      <c r="D479" s="7"/>
      <c r="E479" s="7"/>
      <c r="F479" s="8"/>
      <c r="G479" s="7"/>
      <c r="H479" s="7"/>
      <c r="I479" s="8"/>
      <c r="J479" s="9"/>
      <c r="K479" s="9"/>
      <c r="L479" s="7"/>
      <c r="M479" s="7"/>
      <c r="N479" s="8"/>
      <c r="O479" s="9"/>
      <c r="P479" s="9"/>
      <c r="Q479" s="9"/>
      <c r="R479" s="9"/>
      <c r="S479" s="8"/>
      <c r="T479" s="9" t="str">
        <f aca="false">IF(J479="","",EDATE(MAX(J479,K479,P479,Q479,R479),36))</f>
        <v/>
      </c>
      <c r="U479" s="9" t="str">
        <f aca="false">IF(OR(L479&lt;&gt;"Email",K479="",P479&lt;&gt;"",M479="Opposition",M479="Pas intéressé",M479="Client",M479="Rendez-vous pris",M479="Numéro erroné"),"",WORKDAY(K479,5))</f>
        <v/>
      </c>
      <c r="V479" s="9" t="str">
        <f aca="false">IF(OR(P479="",Q479&lt;&gt;"",M479="Opposition",M479="Pas intéressé",M479="Client",M479="Rendez-vous pris",M479="Numéro erroné"),"",WORKDAY(P479,7))</f>
        <v/>
      </c>
      <c r="W479" s="7" t="str">
        <f aca="true">IF(M479="Opposition","Ne pas contacter",IF(AND(U479&lt;&gt;"",U479&lt;=TODAY()),"Relance 1 à envoyer",IF(AND(V479&lt;&gt;"",V479&lt;=TODAY()),"Relance 2 à envoyer",IF(AND(O479&lt;&gt;"",O479&lt;=TODAY()),"Rappel à faire",""))))</f>
        <v/>
      </c>
    </row>
    <row r="480" customFormat="false" ht="15" hidden="false" customHeight="false" outlineLevel="0" collapsed="false">
      <c r="A480" s="7" t="n">
        <v>479</v>
      </c>
      <c r="B480" s="8"/>
      <c r="C480" s="8"/>
      <c r="D480" s="7"/>
      <c r="E480" s="7"/>
      <c r="F480" s="8"/>
      <c r="G480" s="7"/>
      <c r="H480" s="7"/>
      <c r="I480" s="8"/>
      <c r="J480" s="9"/>
      <c r="K480" s="9"/>
      <c r="L480" s="7"/>
      <c r="M480" s="7"/>
      <c r="N480" s="8"/>
      <c r="O480" s="9"/>
      <c r="P480" s="9"/>
      <c r="Q480" s="9"/>
      <c r="R480" s="9"/>
      <c r="S480" s="8"/>
      <c r="T480" s="9" t="str">
        <f aca="false">IF(J480="","",EDATE(MAX(J480,K480,P480,Q480,R480),36))</f>
        <v/>
      </c>
      <c r="U480" s="9" t="str">
        <f aca="false">IF(OR(L480&lt;&gt;"Email",K480="",P480&lt;&gt;"",M480="Opposition",M480="Pas intéressé",M480="Client",M480="Rendez-vous pris",M480="Numéro erroné"),"",WORKDAY(K480,5))</f>
        <v/>
      </c>
      <c r="V480" s="9" t="str">
        <f aca="false">IF(OR(P480="",Q480&lt;&gt;"",M480="Opposition",M480="Pas intéressé",M480="Client",M480="Rendez-vous pris",M480="Numéro erroné"),"",WORKDAY(P480,7))</f>
        <v/>
      </c>
      <c r="W480" s="7" t="str">
        <f aca="true">IF(M480="Opposition","Ne pas contacter",IF(AND(U480&lt;&gt;"",U480&lt;=TODAY()),"Relance 1 à envoyer",IF(AND(V480&lt;&gt;"",V480&lt;=TODAY()),"Relance 2 à envoyer",IF(AND(O480&lt;&gt;"",O480&lt;=TODAY()),"Rappel à faire",""))))</f>
        <v/>
      </c>
    </row>
    <row r="481" customFormat="false" ht="15" hidden="false" customHeight="false" outlineLevel="0" collapsed="false">
      <c r="A481" s="7" t="n">
        <v>480</v>
      </c>
      <c r="B481" s="8"/>
      <c r="C481" s="8"/>
      <c r="D481" s="7"/>
      <c r="E481" s="7"/>
      <c r="F481" s="8"/>
      <c r="G481" s="7"/>
      <c r="H481" s="7"/>
      <c r="I481" s="8"/>
      <c r="J481" s="9"/>
      <c r="K481" s="9"/>
      <c r="L481" s="7"/>
      <c r="M481" s="7"/>
      <c r="N481" s="8"/>
      <c r="O481" s="9"/>
      <c r="P481" s="9"/>
      <c r="Q481" s="9"/>
      <c r="R481" s="9"/>
      <c r="S481" s="8"/>
      <c r="T481" s="9" t="str">
        <f aca="false">IF(J481="","",EDATE(MAX(J481,K481,P481,Q481,R481),36))</f>
        <v/>
      </c>
      <c r="U481" s="9" t="str">
        <f aca="false">IF(OR(L481&lt;&gt;"Email",K481="",P481&lt;&gt;"",M481="Opposition",M481="Pas intéressé",M481="Client",M481="Rendez-vous pris",M481="Numéro erroné"),"",WORKDAY(K481,5))</f>
        <v/>
      </c>
      <c r="V481" s="9" t="str">
        <f aca="false">IF(OR(P481="",Q481&lt;&gt;"",M481="Opposition",M481="Pas intéressé",M481="Client",M481="Rendez-vous pris",M481="Numéro erroné"),"",WORKDAY(P481,7))</f>
        <v/>
      </c>
      <c r="W481" s="7" t="str">
        <f aca="true">IF(M481="Opposition","Ne pas contacter",IF(AND(U481&lt;&gt;"",U481&lt;=TODAY()),"Relance 1 à envoyer",IF(AND(V481&lt;&gt;"",V481&lt;=TODAY()),"Relance 2 à envoyer",IF(AND(O481&lt;&gt;"",O481&lt;=TODAY()),"Rappel à faire",""))))</f>
        <v/>
      </c>
    </row>
    <row r="482" customFormat="false" ht="15" hidden="false" customHeight="false" outlineLevel="0" collapsed="false">
      <c r="A482" s="7" t="n">
        <v>481</v>
      </c>
      <c r="B482" s="8"/>
      <c r="C482" s="8"/>
      <c r="D482" s="7"/>
      <c r="E482" s="7"/>
      <c r="F482" s="8"/>
      <c r="G482" s="7"/>
      <c r="H482" s="7"/>
      <c r="I482" s="8"/>
      <c r="J482" s="9"/>
      <c r="K482" s="9"/>
      <c r="L482" s="7"/>
      <c r="M482" s="7"/>
      <c r="N482" s="8"/>
      <c r="O482" s="9"/>
      <c r="P482" s="9"/>
      <c r="Q482" s="9"/>
      <c r="R482" s="9"/>
      <c r="S482" s="8"/>
      <c r="T482" s="9" t="str">
        <f aca="false">IF(J482="","",EDATE(MAX(J482,K482,P482,Q482,R482),36))</f>
        <v/>
      </c>
      <c r="U482" s="9" t="str">
        <f aca="false">IF(OR(L482&lt;&gt;"Email",K482="",P482&lt;&gt;"",M482="Opposition",M482="Pas intéressé",M482="Client",M482="Rendez-vous pris",M482="Numéro erroné"),"",WORKDAY(K482,5))</f>
        <v/>
      </c>
      <c r="V482" s="9" t="str">
        <f aca="false">IF(OR(P482="",Q482&lt;&gt;"",M482="Opposition",M482="Pas intéressé",M482="Client",M482="Rendez-vous pris",M482="Numéro erroné"),"",WORKDAY(P482,7))</f>
        <v/>
      </c>
      <c r="W482" s="7" t="str">
        <f aca="true">IF(M482="Opposition","Ne pas contacter",IF(AND(U482&lt;&gt;"",U482&lt;=TODAY()),"Relance 1 à envoyer",IF(AND(V482&lt;&gt;"",V482&lt;=TODAY()),"Relance 2 à envoyer",IF(AND(O482&lt;&gt;"",O482&lt;=TODAY()),"Rappel à faire",""))))</f>
        <v/>
      </c>
    </row>
    <row r="483" customFormat="false" ht="15" hidden="false" customHeight="false" outlineLevel="0" collapsed="false">
      <c r="A483" s="7" t="n">
        <v>482</v>
      </c>
      <c r="B483" s="8"/>
      <c r="C483" s="8"/>
      <c r="D483" s="7"/>
      <c r="E483" s="7"/>
      <c r="F483" s="8"/>
      <c r="G483" s="7"/>
      <c r="H483" s="7"/>
      <c r="I483" s="8"/>
      <c r="J483" s="9"/>
      <c r="K483" s="9"/>
      <c r="L483" s="7"/>
      <c r="M483" s="7"/>
      <c r="N483" s="8"/>
      <c r="O483" s="9"/>
      <c r="P483" s="9"/>
      <c r="Q483" s="9"/>
      <c r="R483" s="9"/>
      <c r="S483" s="8"/>
      <c r="T483" s="9" t="str">
        <f aca="false">IF(J483="","",EDATE(MAX(J483,K483,P483,Q483,R483),36))</f>
        <v/>
      </c>
      <c r="U483" s="9" t="str">
        <f aca="false">IF(OR(L483&lt;&gt;"Email",K483="",P483&lt;&gt;"",M483="Opposition",M483="Pas intéressé",M483="Client",M483="Rendez-vous pris",M483="Numéro erroné"),"",WORKDAY(K483,5))</f>
        <v/>
      </c>
      <c r="V483" s="9" t="str">
        <f aca="false">IF(OR(P483="",Q483&lt;&gt;"",M483="Opposition",M483="Pas intéressé",M483="Client",M483="Rendez-vous pris",M483="Numéro erroné"),"",WORKDAY(P483,7))</f>
        <v/>
      </c>
      <c r="W483" s="7" t="str">
        <f aca="true">IF(M483="Opposition","Ne pas contacter",IF(AND(U483&lt;&gt;"",U483&lt;=TODAY()),"Relance 1 à envoyer",IF(AND(V483&lt;&gt;"",V483&lt;=TODAY()),"Relance 2 à envoyer",IF(AND(O483&lt;&gt;"",O483&lt;=TODAY()),"Rappel à faire",""))))</f>
        <v/>
      </c>
    </row>
    <row r="484" customFormat="false" ht="15" hidden="false" customHeight="false" outlineLevel="0" collapsed="false">
      <c r="A484" s="7" t="n">
        <v>483</v>
      </c>
      <c r="B484" s="8"/>
      <c r="C484" s="8"/>
      <c r="D484" s="7"/>
      <c r="E484" s="7"/>
      <c r="F484" s="8"/>
      <c r="G484" s="7"/>
      <c r="H484" s="7"/>
      <c r="I484" s="8"/>
      <c r="J484" s="9"/>
      <c r="K484" s="9"/>
      <c r="L484" s="7"/>
      <c r="M484" s="7"/>
      <c r="N484" s="8"/>
      <c r="O484" s="9"/>
      <c r="P484" s="9"/>
      <c r="Q484" s="9"/>
      <c r="R484" s="9"/>
      <c r="S484" s="8"/>
      <c r="T484" s="9" t="str">
        <f aca="false">IF(J484="","",EDATE(MAX(J484,K484,P484,Q484,R484),36))</f>
        <v/>
      </c>
      <c r="U484" s="9" t="str">
        <f aca="false">IF(OR(L484&lt;&gt;"Email",K484="",P484&lt;&gt;"",M484="Opposition",M484="Pas intéressé",M484="Client",M484="Rendez-vous pris",M484="Numéro erroné"),"",WORKDAY(K484,5))</f>
        <v/>
      </c>
      <c r="V484" s="9" t="str">
        <f aca="false">IF(OR(P484="",Q484&lt;&gt;"",M484="Opposition",M484="Pas intéressé",M484="Client",M484="Rendez-vous pris",M484="Numéro erroné"),"",WORKDAY(P484,7))</f>
        <v/>
      </c>
      <c r="W484" s="7" t="str">
        <f aca="true">IF(M484="Opposition","Ne pas contacter",IF(AND(U484&lt;&gt;"",U484&lt;=TODAY()),"Relance 1 à envoyer",IF(AND(V484&lt;&gt;"",V484&lt;=TODAY()),"Relance 2 à envoyer",IF(AND(O484&lt;&gt;"",O484&lt;=TODAY()),"Rappel à faire",""))))</f>
        <v/>
      </c>
    </row>
    <row r="485" customFormat="false" ht="15" hidden="false" customHeight="false" outlineLevel="0" collapsed="false">
      <c r="A485" s="7" t="n">
        <v>484</v>
      </c>
      <c r="B485" s="8"/>
      <c r="C485" s="8"/>
      <c r="D485" s="7"/>
      <c r="E485" s="7"/>
      <c r="F485" s="8"/>
      <c r="G485" s="7"/>
      <c r="H485" s="7"/>
      <c r="I485" s="8"/>
      <c r="J485" s="9"/>
      <c r="K485" s="9"/>
      <c r="L485" s="7"/>
      <c r="M485" s="7"/>
      <c r="N485" s="8"/>
      <c r="O485" s="9"/>
      <c r="P485" s="9"/>
      <c r="Q485" s="9"/>
      <c r="R485" s="9"/>
      <c r="S485" s="8"/>
      <c r="T485" s="9" t="str">
        <f aca="false">IF(J485="","",EDATE(MAX(J485,K485,P485,Q485,R485),36))</f>
        <v/>
      </c>
      <c r="U485" s="9" t="str">
        <f aca="false">IF(OR(L485&lt;&gt;"Email",K485="",P485&lt;&gt;"",M485="Opposition",M485="Pas intéressé",M485="Client",M485="Rendez-vous pris",M485="Numéro erroné"),"",WORKDAY(K485,5))</f>
        <v/>
      </c>
      <c r="V485" s="9" t="str">
        <f aca="false">IF(OR(P485="",Q485&lt;&gt;"",M485="Opposition",M485="Pas intéressé",M485="Client",M485="Rendez-vous pris",M485="Numéro erroné"),"",WORKDAY(P485,7))</f>
        <v/>
      </c>
      <c r="W485" s="7" t="str">
        <f aca="true">IF(M485="Opposition","Ne pas contacter",IF(AND(U485&lt;&gt;"",U485&lt;=TODAY()),"Relance 1 à envoyer",IF(AND(V485&lt;&gt;"",V485&lt;=TODAY()),"Relance 2 à envoyer",IF(AND(O485&lt;&gt;"",O485&lt;=TODAY()),"Rappel à faire",""))))</f>
        <v/>
      </c>
    </row>
    <row r="486" customFormat="false" ht="15" hidden="false" customHeight="false" outlineLevel="0" collapsed="false">
      <c r="A486" s="7" t="n">
        <v>485</v>
      </c>
      <c r="B486" s="8"/>
      <c r="C486" s="8"/>
      <c r="D486" s="7"/>
      <c r="E486" s="7"/>
      <c r="F486" s="8"/>
      <c r="G486" s="7"/>
      <c r="H486" s="7"/>
      <c r="I486" s="8"/>
      <c r="J486" s="9"/>
      <c r="K486" s="9"/>
      <c r="L486" s="7"/>
      <c r="M486" s="7"/>
      <c r="N486" s="8"/>
      <c r="O486" s="9"/>
      <c r="P486" s="9"/>
      <c r="Q486" s="9"/>
      <c r="R486" s="9"/>
      <c r="S486" s="8"/>
      <c r="T486" s="9" t="str">
        <f aca="false">IF(J486="","",EDATE(MAX(J486,K486,P486,Q486,R486),36))</f>
        <v/>
      </c>
      <c r="U486" s="9" t="str">
        <f aca="false">IF(OR(L486&lt;&gt;"Email",K486="",P486&lt;&gt;"",M486="Opposition",M486="Pas intéressé",M486="Client",M486="Rendez-vous pris",M486="Numéro erroné"),"",WORKDAY(K486,5))</f>
        <v/>
      </c>
      <c r="V486" s="9" t="str">
        <f aca="false">IF(OR(P486="",Q486&lt;&gt;"",M486="Opposition",M486="Pas intéressé",M486="Client",M486="Rendez-vous pris",M486="Numéro erroné"),"",WORKDAY(P486,7))</f>
        <v/>
      </c>
      <c r="W486" s="7" t="str">
        <f aca="true">IF(M486="Opposition","Ne pas contacter",IF(AND(U486&lt;&gt;"",U486&lt;=TODAY()),"Relance 1 à envoyer",IF(AND(V486&lt;&gt;"",V486&lt;=TODAY()),"Relance 2 à envoyer",IF(AND(O486&lt;&gt;"",O486&lt;=TODAY()),"Rappel à faire",""))))</f>
        <v/>
      </c>
    </row>
    <row r="487" customFormat="false" ht="15" hidden="false" customHeight="false" outlineLevel="0" collapsed="false">
      <c r="A487" s="7" t="n">
        <v>486</v>
      </c>
      <c r="B487" s="8"/>
      <c r="C487" s="8"/>
      <c r="D487" s="7"/>
      <c r="E487" s="7"/>
      <c r="F487" s="8"/>
      <c r="G487" s="7"/>
      <c r="H487" s="7"/>
      <c r="I487" s="8"/>
      <c r="J487" s="9"/>
      <c r="K487" s="9"/>
      <c r="L487" s="7"/>
      <c r="M487" s="7"/>
      <c r="N487" s="8"/>
      <c r="O487" s="9"/>
      <c r="P487" s="9"/>
      <c r="Q487" s="9"/>
      <c r="R487" s="9"/>
      <c r="S487" s="8"/>
      <c r="T487" s="9" t="str">
        <f aca="false">IF(J487="","",EDATE(MAX(J487,K487,P487,Q487,R487),36))</f>
        <v/>
      </c>
      <c r="U487" s="9" t="str">
        <f aca="false">IF(OR(L487&lt;&gt;"Email",K487="",P487&lt;&gt;"",M487="Opposition",M487="Pas intéressé",M487="Client",M487="Rendez-vous pris",M487="Numéro erroné"),"",WORKDAY(K487,5))</f>
        <v/>
      </c>
      <c r="V487" s="9" t="str">
        <f aca="false">IF(OR(P487="",Q487&lt;&gt;"",M487="Opposition",M487="Pas intéressé",M487="Client",M487="Rendez-vous pris",M487="Numéro erroné"),"",WORKDAY(P487,7))</f>
        <v/>
      </c>
      <c r="W487" s="7" t="str">
        <f aca="true">IF(M487="Opposition","Ne pas contacter",IF(AND(U487&lt;&gt;"",U487&lt;=TODAY()),"Relance 1 à envoyer",IF(AND(V487&lt;&gt;"",V487&lt;=TODAY()),"Relance 2 à envoyer",IF(AND(O487&lt;&gt;"",O487&lt;=TODAY()),"Rappel à faire",""))))</f>
        <v/>
      </c>
    </row>
    <row r="488" customFormat="false" ht="15" hidden="false" customHeight="false" outlineLevel="0" collapsed="false">
      <c r="A488" s="7" t="n">
        <v>487</v>
      </c>
      <c r="B488" s="8"/>
      <c r="C488" s="8"/>
      <c r="D488" s="7"/>
      <c r="E488" s="7"/>
      <c r="F488" s="8"/>
      <c r="G488" s="7"/>
      <c r="H488" s="7"/>
      <c r="I488" s="8"/>
      <c r="J488" s="9"/>
      <c r="K488" s="9"/>
      <c r="L488" s="7"/>
      <c r="M488" s="7"/>
      <c r="N488" s="8"/>
      <c r="O488" s="9"/>
      <c r="P488" s="9"/>
      <c r="Q488" s="9"/>
      <c r="R488" s="9"/>
      <c r="S488" s="8"/>
      <c r="T488" s="9" t="str">
        <f aca="false">IF(J488="","",EDATE(MAX(J488,K488,P488,Q488,R488),36))</f>
        <v/>
      </c>
      <c r="U488" s="9" t="str">
        <f aca="false">IF(OR(L488&lt;&gt;"Email",K488="",P488&lt;&gt;"",M488="Opposition",M488="Pas intéressé",M488="Client",M488="Rendez-vous pris",M488="Numéro erroné"),"",WORKDAY(K488,5))</f>
        <v/>
      </c>
      <c r="V488" s="9" t="str">
        <f aca="false">IF(OR(P488="",Q488&lt;&gt;"",M488="Opposition",M488="Pas intéressé",M488="Client",M488="Rendez-vous pris",M488="Numéro erroné"),"",WORKDAY(P488,7))</f>
        <v/>
      </c>
      <c r="W488" s="7" t="str">
        <f aca="true">IF(M488="Opposition","Ne pas contacter",IF(AND(U488&lt;&gt;"",U488&lt;=TODAY()),"Relance 1 à envoyer",IF(AND(V488&lt;&gt;"",V488&lt;=TODAY()),"Relance 2 à envoyer",IF(AND(O488&lt;&gt;"",O488&lt;=TODAY()),"Rappel à faire",""))))</f>
        <v/>
      </c>
    </row>
    <row r="489" customFormat="false" ht="15" hidden="false" customHeight="false" outlineLevel="0" collapsed="false">
      <c r="A489" s="7" t="n">
        <v>488</v>
      </c>
      <c r="B489" s="8"/>
      <c r="C489" s="8"/>
      <c r="D489" s="7"/>
      <c r="E489" s="7"/>
      <c r="F489" s="8"/>
      <c r="G489" s="7"/>
      <c r="H489" s="7"/>
      <c r="I489" s="8"/>
      <c r="J489" s="9"/>
      <c r="K489" s="9"/>
      <c r="L489" s="7"/>
      <c r="M489" s="7"/>
      <c r="N489" s="8"/>
      <c r="O489" s="9"/>
      <c r="P489" s="9"/>
      <c r="Q489" s="9"/>
      <c r="R489" s="9"/>
      <c r="S489" s="8"/>
      <c r="T489" s="9" t="str">
        <f aca="false">IF(J489="","",EDATE(MAX(J489,K489,P489,Q489,R489),36))</f>
        <v/>
      </c>
      <c r="U489" s="9" t="str">
        <f aca="false">IF(OR(L489&lt;&gt;"Email",K489="",P489&lt;&gt;"",M489="Opposition",M489="Pas intéressé",M489="Client",M489="Rendez-vous pris",M489="Numéro erroné"),"",WORKDAY(K489,5))</f>
        <v/>
      </c>
      <c r="V489" s="9" t="str">
        <f aca="false">IF(OR(P489="",Q489&lt;&gt;"",M489="Opposition",M489="Pas intéressé",M489="Client",M489="Rendez-vous pris",M489="Numéro erroné"),"",WORKDAY(P489,7))</f>
        <v/>
      </c>
      <c r="W489" s="7" t="str">
        <f aca="true">IF(M489="Opposition","Ne pas contacter",IF(AND(U489&lt;&gt;"",U489&lt;=TODAY()),"Relance 1 à envoyer",IF(AND(V489&lt;&gt;"",V489&lt;=TODAY()),"Relance 2 à envoyer",IF(AND(O489&lt;&gt;"",O489&lt;=TODAY()),"Rappel à faire",""))))</f>
        <v/>
      </c>
    </row>
    <row r="490" customFormat="false" ht="15" hidden="false" customHeight="false" outlineLevel="0" collapsed="false">
      <c r="A490" s="7" t="n">
        <v>489</v>
      </c>
      <c r="B490" s="8"/>
      <c r="C490" s="8"/>
      <c r="D490" s="7"/>
      <c r="E490" s="7"/>
      <c r="F490" s="8"/>
      <c r="G490" s="7"/>
      <c r="H490" s="7"/>
      <c r="I490" s="8"/>
      <c r="J490" s="9"/>
      <c r="K490" s="9"/>
      <c r="L490" s="7"/>
      <c r="M490" s="7"/>
      <c r="N490" s="8"/>
      <c r="O490" s="9"/>
      <c r="P490" s="9"/>
      <c r="Q490" s="9"/>
      <c r="R490" s="9"/>
      <c r="S490" s="8"/>
      <c r="T490" s="9" t="str">
        <f aca="false">IF(J490="","",EDATE(MAX(J490,K490,P490,Q490,R490),36))</f>
        <v/>
      </c>
      <c r="U490" s="9" t="str">
        <f aca="false">IF(OR(L490&lt;&gt;"Email",K490="",P490&lt;&gt;"",M490="Opposition",M490="Pas intéressé",M490="Client",M490="Rendez-vous pris",M490="Numéro erroné"),"",WORKDAY(K490,5))</f>
        <v/>
      </c>
      <c r="V490" s="9" t="str">
        <f aca="false">IF(OR(P490="",Q490&lt;&gt;"",M490="Opposition",M490="Pas intéressé",M490="Client",M490="Rendez-vous pris",M490="Numéro erroné"),"",WORKDAY(P490,7))</f>
        <v/>
      </c>
      <c r="W490" s="7" t="str">
        <f aca="true">IF(M490="Opposition","Ne pas contacter",IF(AND(U490&lt;&gt;"",U490&lt;=TODAY()),"Relance 1 à envoyer",IF(AND(V490&lt;&gt;"",V490&lt;=TODAY()),"Relance 2 à envoyer",IF(AND(O490&lt;&gt;"",O490&lt;=TODAY()),"Rappel à faire",""))))</f>
        <v/>
      </c>
    </row>
    <row r="491" customFormat="false" ht="15" hidden="false" customHeight="false" outlineLevel="0" collapsed="false">
      <c r="A491" s="7" t="n">
        <v>490</v>
      </c>
      <c r="B491" s="8"/>
      <c r="C491" s="8"/>
      <c r="D491" s="7"/>
      <c r="E491" s="7"/>
      <c r="F491" s="8"/>
      <c r="G491" s="7"/>
      <c r="H491" s="7"/>
      <c r="I491" s="8"/>
      <c r="J491" s="9"/>
      <c r="K491" s="9"/>
      <c r="L491" s="7"/>
      <c r="M491" s="7"/>
      <c r="N491" s="8"/>
      <c r="O491" s="9"/>
      <c r="P491" s="9"/>
      <c r="Q491" s="9"/>
      <c r="R491" s="9"/>
      <c r="S491" s="8"/>
      <c r="T491" s="9" t="str">
        <f aca="false">IF(J491="","",EDATE(MAX(J491,K491,P491,Q491,R491),36))</f>
        <v/>
      </c>
      <c r="U491" s="9" t="str">
        <f aca="false">IF(OR(L491&lt;&gt;"Email",K491="",P491&lt;&gt;"",M491="Opposition",M491="Pas intéressé",M491="Client",M491="Rendez-vous pris",M491="Numéro erroné"),"",WORKDAY(K491,5))</f>
        <v/>
      </c>
      <c r="V491" s="9" t="str">
        <f aca="false">IF(OR(P491="",Q491&lt;&gt;"",M491="Opposition",M491="Pas intéressé",M491="Client",M491="Rendez-vous pris",M491="Numéro erroné"),"",WORKDAY(P491,7))</f>
        <v/>
      </c>
      <c r="W491" s="7" t="str">
        <f aca="true">IF(M491="Opposition","Ne pas contacter",IF(AND(U491&lt;&gt;"",U491&lt;=TODAY()),"Relance 1 à envoyer",IF(AND(V491&lt;&gt;"",V491&lt;=TODAY()),"Relance 2 à envoyer",IF(AND(O491&lt;&gt;"",O491&lt;=TODAY()),"Rappel à faire",""))))</f>
        <v/>
      </c>
    </row>
    <row r="492" customFormat="false" ht="15" hidden="false" customHeight="false" outlineLevel="0" collapsed="false">
      <c r="A492" s="7" t="n">
        <v>491</v>
      </c>
      <c r="B492" s="8"/>
      <c r="C492" s="8"/>
      <c r="D492" s="7"/>
      <c r="E492" s="7"/>
      <c r="F492" s="8"/>
      <c r="G492" s="7"/>
      <c r="H492" s="7"/>
      <c r="I492" s="8"/>
      <c r="J492" s="9"/>
      <c r="K492" s="9"/>
      <c r="L492" s="7"/>
      <c r="M492" s="7"/>
      <c r="N492" s="8"/>
      <c r="O492" s="9"/>
      <c r="P492" s="9"/>
      <c r="Q492" s="9"/>
      <c r="R492" s="9"/>
      <c r="S492" s="8"/>
      <c r="T492" s="9" t="str">
        <f aca="false">IF(J492="","",EDATE(MAX(J492,K492,P492,Q492,R492),36))</f>
        <v/>
      </c>
      <c r="U492" s="9" t="str">
        <f aca="false">IF(OR(L492&lt;&gt;"Email",K492="",P492&lt;&gt;"",M492="Opposition",M492="Pas intéressé",M492="Client",M492="Rendez-vous pris",M492="Numéro erroné"),"",WORKDAY(K492,5))</f>
        <v/>
      </c>
      <c r="V492" s="9" t="str">
        <f aca="false">IF(OR(P492="",Q492&lt;&gt;"",M492="Opposition",M492="Pas intéressé",M492="Client",M492="Rendez-vous pris",M492="Numéro erroné"),"",WORKDAY(P492,7))</f>
        <v/>
      </c>
      <c r="W492" s="7" t="str">
        <f aca="true">IF(M492="Opposition","Ne pas contacter",IF(AND(U492&lt;&gt;"",U492&lt;=TODAY()),"Relance 1 à envoyer",IF(AND(V492&lt;&gt;"",V492&lt;=TODAY()),"Relance 2 à envoyer",IF(AND(O492&lt;&gt;"",O492&lt;=TODAY()),"Rappel à faire",""))))</f>
        <v/>
      </c>
    </row>
    <row r="493" customFormat="false" ht="15" hidden="false" customHeight="false" outlineLevel="0" collapsed="false">
      <c r="A493" s="7" t="n">
        <v>492</v>
      </c>
      <c r="B493" s="8"/>
      <c r="C493" s="8"/>
      <c r="D493" s="7"/>
      <c r="E493" s="7"/>
      <c r="F493" s="8"/>
      <c r="G493" s="7"/>
      <c r="H493" s="7"/>
      <c r="I493" s="8"/>
      <c r="J493" s="9"/>
      <c r="K493" s="9"/>
      <c r="L493" s="7"/>
      <c r="M493" s="7"/>
      <c r="N493" s="8"/>
      <c r="O493" s="9"/>
      <c r="P493" s="9"/>
      <c r="Q493" s="9"/>
      <c r="R493" s="9"/>
      <c r="S493" s="8"/>
      <c r="T493" s="9" t="str">
        <f aca="false">IF(J493="","",EDATE(MAX(J493,K493,P493,Q493,R493),36))</f>
        <v/>
      </c>
      <c r="U493" s="9" t="str">
        <f aca="false">IF(OR(L493&lt;&gt;"Email",K493="",P493&lt;&gt;"",M493="Opposition",M493="Pas intéressé",M493="Client",M493="Rendez-vous pris",M493="Numéro erroné"),"",WORKDAY(K493,5))</f>
        <v/>
      </c>
      <c r="V493" s="9" t="str">
        <f aca="false">IF(OR(P493="",Q493&lt;&gt;"",M493="Opposition",M493="Pas intéressé",M493="Client",M493="Rendez-vous pris",M493="Numéro erroné"),"",WORKDAY(P493,7))</f>
        <v/>
      </c>
      <c r="W493" s="7" t="str">
        <f aca="true">IF(M493="Opposition","Ne pas contacter",IF(AND(U493&lt;&gt;"",U493&lt;=TODAY()),"Relance 1 à envoyer",IF(AND(V493&lt;&gt;"",V493&lt;=TODAY()),"Relance 2 à envoyer",IF(AND(O493&lt;&gt;"",O493&lt;=TODAY()),"Rappel à faire",""))))</f>
        <v/>
      </c>
    </row>
    <row r="494" customFormat="false" ht="15" hidden="false" customHeight="false" outlineLevel="0" collapsed="false">
      <c r="A494" s="7" t="n">
        <v>493</v>
      </c>
      <c r="B494" s="8"/>
      <c r="C494" s="8"/>
      <c r="D494" s="7"/>
      <c r="E494" s="7"/>
      <c r="F494" s="8"/>
      <c r="G494" s="7"/>
      <c r="H494" s="7"/>
      <c r="I494" s="8"/>
      <c r="J494" s="9"/>
      <c r="K494" s="9"/>
      <c r="L494" s="7"/>
      <c r="M494" s="7"/>
      <c r="N494" s="8"/>
      <c r="O494" s="9"/>
      <c r="P494" s="9"/>
      <c r="Q494" s="9"/>
      <c r="R494" s="9"/>
      <c r="S494" s="8"/>
      <c r="T494" s="9" t="str">
        <f aca="false">IF(J494="","",EDATE(MAX(J494,K494,P494,Q494,R494),36))</f>
        <v/>
      </c>
      <c r="U494" s="9" t="str">
        <f aca="false">IF(OR(L494&lt;&gt;"Email",K494="",P494&lt;&gt;"",M494="Opposition",M494="Pas intéressé",M494="Client",M494="Rendez-vous pris",M494="Numéro erroné"),"",WORKDAY(K494,5))</f>
        <v/>
      </c>
      <c r="V494" s="9" t="str">
        <f aca="false">IF(OR(P494="",Q494&lt;&gt;"",M494="Opposition",M494="Pas intéressé",M494="Client",M494="Rendez-vous pris",M494="Numéro erroné"),"",WORKDAY(P494,7))</f>
        <v/>
      </c>
      <c r="W494" s="7" t="str">
        <f aca="true">IF(M494="Opposition","Ne pas contacter",IF(AND(U494&lt;&gt;"",U494&lt;=TODAY()),"Relance 1 à envoyer",IF(AND(V494&lt;&gt;"",V494&lt;=TODAY()),"Relance 2 à envoyer",IF(AND(O494&lt;&gt;"",O494&lt;=TODAY()),"Rappel à faire",""))))</f>
        <v/>
      </c>
    </row>
    <row r="495" customFormat="false" ht="15" hidden="false" customHeight="false" outlineLevel="0" collapsed="false">
      <c r="A495" s="7" t="n">
        <v>494</v>
      </c>
      <c r="B495" s="8"/>
      <c r="C495" s="8"/>
      <c r="D495" s="7"/>
      <c r="E495" s="7"/>
      <c r="F495" s="8"/>
      <c r="G495" s="7"/>
      <c r="H495" s="7"/>
      <c r="I495" s="8"/>
      <c r="J495" s="9"/>
      <c r="K495" s="9"/>
      <c r="L495" s="7"/>
      <c r="M495" s="7"/>
      <c r="N495" s="8"/>
      <c r="O495" s="9"/>
      <c r="P495" s="9"/>
      <c r="Q495" s="9"/>
      <c r="R495" s="9"/>
      <c r="S495" s="8"/>
      <c r="T495" s="9" t="str">
        <f aca="false">IF(J495="","",EDATE(MAX(J495,K495,P495,Q495,R495),36))</f>
        <v/>
      </c>
      <c r="U495" s="9" t="str">
        <f aca="false">IF(OR(L495&lt;&gt;"Email",K495="",P495&lt;&gt;"",M495="Opposition",M495="Pas intéressé",M495="Client",M495="Rendez-vous pris",M495="Numéro erroné"),"",WORKDAY(K495,5))</f>
        <v/>
      </c>
      <c r="V495" s="9" t="str">
        <f aca="false">IF(OR(P495="",Q495&lt;&gt;"",M495="Opposition",M495="Pas intéressé",M495="Client",M495="Rendez-vous pris",M495="Numéro erroné"),"",WORKDAY(P495,7))</f>
        <v/>
      </c>
      <c r="W495" s="7" t="str">
        <f aca="true">IF(M495="Opposition","Ne pas contacter",IF(AND(U495&lt;&gt;"",U495&lt;=TODAY()),"Relance 1 à envoyer",IF(AND(V495&lt;&gt;"",V495&lt;=TODAY()),"Relance 2 à envoyer",IF(AND(O495&lt;&gt;"",O495&lt;=TODAY()),"Rappel à faire",""))))</f>
        <v/>
      </c>
    </row>
    <row r="496" customFormat="false" ht="15" hidden="false" customHeight="false" outlineLevel="0" collapsed="false">
      <c r="A496" s="7" t="n">
        <v>495</v>
      </c>
      <c r="B496" s="8"/>
      <c r="C496" s="8"/>
      <c r="D496" s="7"/>
      <c r="E496" s="7"/>
      <c r="F496" s="8"/>
      <c r="G496" s="7"/>
      <c r="H496" s="7"/>
      <c r="I496" s="8"/>
      <c r="J496" s="9"/>
      <c r="K496" s="9"/>
      <c r="L496" s="7"/>
      <c r="M496" s="7"/>
      <c r="N496" s="8"/>
      <c r="O496" s="9"/>
      <c r="P496" s="9"/>
      <c r="Q496" s="9"/>
      <c r="R496" s="9"/>
      <c r="S496" s="8"/>
      <c r="T496" s="9" t="str">
        <f aca="false">IF(J496="","",EDATE(MAX(J496,K496,P496,Q496,R496),36))</f>
        <v/>
      </c>
      <c r="U496" s="9" t="str">
        <f aca="false">IF(OR(L496&lt;&gt;"Email",K496="",P496&lt;&gt;"",M496="Opposition",M496="Pas intéressé",M496="Client",M496="Rendez-vous pris",M496="Numéro erroné"),"",WORKDAY(K496,5))</f>
        <v/>
      </c>
      <c r="V496" s="9" t="str">
        <f aca="false">IF(OR(P496="",Q496&lt;&gt;"",M496="Opposition",M496="Pas intéressé",M496="Client",M496="Rendez-vous pris",M496="Numéro erroné"),"",WORKDAY(P496,7))</f>
        <v/>
      </c>
      <c r="W496" s="7" t="str">
        <f aca="true">IF(M496="Opposition","Ne pas contacter",IF(AND(U496&lt;&gt;"",U496&lt;=TODAY()),"Relance 1 à envoyer",IF(AND(V496&lt;&gt;"",V496&lt;=TODAY()),"Relance 2 à envoyer",IF(AND(O496&lt;&gt;"",O496&lt;=TODAY()),"Rappel à faire",""))))</f>
        <v/>
      </c>
    </row>
    <row r="497" customFormat="false" ht="15" hidden="false" customHeight="false" outlineLevel="0" collapsed="false">
      <c r="A497" s="7" t="n">
        <v>496</v>
      </c>
      <c r="B497" s="8"/>
      <c r="C497" s="8"/>
      <c r="D497" s="7"/>
      <c r="E497" s="7"/>
      <c r="F497" s="8"/>
      <c r="G497" s="7"/>
      <c r="H497" s="7"/>
      <c r="I497" s="8"/>
      <c r="J497" s="9"/>
      <c r="K497" s="9"/>
      <c r="L497" s="7"/>
      <c r="M497" s="7"/>
      <c r="N497" s="8"/>
      <c r="O497" s="9"/>
      <c r="P497" s="9"/>
      <c r="Q497" s="9"/>
      <c r="R497" s="9"/>
      <c r="S497" s="8"/>
      <c r="T497" s="9" t="str">
        <f aca="false">IF(J497="","",EDATE(MAX(J497,K497,P497,Q497,R497),36))</f>
        <v/>
      </c>
      <c r="U497" s="9" t="str">
        <f aca="false">IF(OR(L497&lt;&gt;"Email",K497="",P497&lt;&gt;"",M497="Opposition",M497="Pas intéressé",M497="Client",M497="Rendez-vous pris",M497="Numéro erroné"),"",WORKDAY(K497,5))</f>
        <v/>
      </c>
      <c r="V497" s="9" t="str">
        <f aca="false">IF(OR(P497="",Q497&lt;&gt;"",M497="Opposition",M497="Pas intéressé",M497="Client",M497="Rendez-vous pris",M497="Numéro erroné"),"",WORKDAY(P497,7))</f>
        <v/>
      </c>
      <c r="W497" s="7" t="str">
        <f aca="true">IF(M497="Opposition","Ne pas contacter",IF(AND(U497&lt;&gt;"",U497&lt;=TODAY()),"Relance 1 à envoyer",IF(AND(V497&lt;&gt;"",V497&lt;=TODAY()),"Relance 2 à envoyer",IF(AND(O497&lt;&gt;"",O497&lt;=TODAY()),"Rappel à faire",""))))</f>
        <v/>
      </c>
    </row>
    <row r="498" customFormat="false" ht="15" hidden="false" customHeight="false" outlineLevel="0" collapsed="false">
      <c r="A498" s="7" t="n">
        <v>497</v>
      </c>
      <c r="B498" s="8"/>
      <c r="C498" s="8"/>
      <c r="D498" s="7"/>
      <c r="E498" s="7"/>
      <c r="F498" s="8"/>
      <c r="G498" s="7"/>
      <c r="H498" s="7"/>
      <c r="I498" s="8"/>
      <c r="J498" s="9"/>
      <c r="K498" s="9"/>
      <c r="L498" s="7"/>
      <c r="M498" s="7"/>
      <c r="N498" s="8"/>
      <c r="O498" s="9"/>
      <c r="P498" s="9"/>
      <c r="Q498" s="9"/>
      <c r="R498" s="9"/>
      <c r="S498" s="8"/>
      <c r="T498" s="9" t="str">
        <f aca="false">IF(J498="","",EDATE(MAX(J498,K498,P498,Q498,R498),36))</f>
        <v/>
      </c>
      <c r="U498" s="9" t="str">
        <f aca="false">IF(OR(L498&lt;&gt;"Email",K498="",P498&lt;&gt;"",M498="Opposition",M498="Pas intéressé",M498="Client",M498="Rendez-vous pris",M498="Numéro erroné"),"",WORKDAY(K498,5))</f>
        <v/>
      </c>
      <c r="V498" s="9" t="str">
        <f aca="false">IF(OR(P498="",Q498&lt;&gt;"",M498="Opposition",M498="Pas intéressé",M498="Client",M498="Rendez-vous pris",M498="Numéro erroné"),"",WORKDAY(P498,7))</f>
        <v/>
      </c>
      <c r="W498" s="7" t="str">
        <f aca="true">IF(M498="Opposition","Ne pas contacter",IF(AND(U498&lt;&gt;"",U498&lt;=TODAY()),"Relance 1 à envoyer",IF(AND(V498&lt;&gt;"",V498&lt;=TODAY()),"Relance 2 à envoyer",IF(AND(O498&lt;&gt;"",O498&lt;=TODAY()),"Rappel à faire",""))))</f>
        <v/>
      </c>
    </row>
    <row r="499" customFormat="false" ht="15" hidden="false" customHeight="false" outlineLevel="0" collapsed="false">
      <c r="A499" s="7" t="n">
        <v>498</v>
      </c>
      <c r="B499" s="8"/>
      <c r="C499" s="8"/>
      <c r="D499" s="7"/>
      <c r="E499" s="7"/>
      <c r="F499" s="8"/>
      <c r="G499" s="7"/>
      <c r="H499" s="7"/>
      <c r="I499" s="8"/>
      <c r="J499" s="9"/>
      <c r="K499" s="9"/>
      <c r="L499" s="7"/>
      <c r="M499" s="7"/>
      <c r="N499" s="8"/>
      <c r="O499" s="9"/>
      <c r="P499" s="9"/>
      <c r="Q499" s="9"/>
      <c r="R499" s="9"/>
      <c r="S499" s="8"/>
      <c r="T499" s="9" t="str">
        <f aca="false">IF(J499="","",EDATE(MAX(J499,K499,P499,Q499,R499),36))</f>
        <v/>
      </c>
      <c r="U499" s="9" t="str">
        <f aca="false">IF(OR(L499&lt;&gt;"Email",K499="",P499&lt;&gt;"",M499="Opposition",M499="Pas intéressé",M499="Client",M499="Rendez-vous pris",M499="Numéro erroné"),"",WORKDAY(K499,5))</f>
        <v/>
      </c>
      <c r="V499" s="9" t="str">
        <f aca="false">IF(OR(P499="",Q499&lt;&gt;"",M499="Opposition",M499="Pas intéressé",M499="Client",M499="Rendez-vous pris",M499="Numéro erroné"),"",WORKDAY(P499,7))</f>
        <v/>
      </c>
      <c r="W499" s="7" t="str">
        <f aca="true">IF(M499="Opposition","Ne pas contacter",IF(AND(U499&lt;&gt;"",U499&lt;=TODAY()),"Relance 1 à envoyer",IF(AND(V499&lt;&gt;"",V499&lt;=TODAY()),"Relance 2 à envoyer",IF(AND(O499&lt;&gt;"",O499&lt;=TODAY()),"Rappel à faire",""))))</f>
        <v/>
      </c>
    </row>
    <row r="500" customFormat="false" ht="15" hidden="false" customHeight="false" outlineLevel="0" collapsed="false">
      <c r="A500" s="7" t="n">
        <v>499</v>
      </c>
      <c r="B500" s="8"/>
      <c r="C500" s="8"/>
      <c r="D500" s="7"/>
      <c r="E500" s="7"/>
      <c r="F500" s="8"/>
      <c r="G500" s="7"/>
      <c r="H500" s="7"/>
      <c r="I500" s="8"/>
      <c r="J500" s="9"/>
      <c r="K500" s="9"/>
      <c r="L500" s="7"/>
      <c r="M500" s="7"/>
      <c r="N500" s="8"/>
      <c r="O500" s="9"/>
      <c r="P500" s="9"/>
      <c r="Q500" s="9"/>
      <c r="R500" s="9"/>
      <c r="S500" s="8"/>
      <c r="T500" s="9" t="str">
        <f aca="false">IF(J500="","",EDATE(MAX(J500,K500,P500,Q500,R500),36))</f>
        <v/>
      </c>
      <c r="U500" s="9" t="str">
        <f aca="false">IF(OR(L500&lt;&gt;"Email",K500="",P500&lt;&gt;"",M500="Opposition",M500="Pas intéressé",M500="Client",M500="Rendez-vous pris",M500="Numéro erroné"),"",WORKDAY(K500,5))</f>
        <v/>
      </c>
      <c r="V500" s="9" t="str">
        <f aca="false">IF(OR(P500="",Q500&lt;&gt;"",M500="Opposition",M500="Pas intéressé",M500="Client",M500="Rendez-vous pris",M500="Numéro erroné"),"",WORKDAY(P500,7))</f>
        <v/>
      </c>
      <c r="W500" s="7" t="str">
        <f aca="true">IF(M500="Opposition","Ne pas contacter",IF(AND(U500&lt;&gt;"",U500&lt;=TODAY()),"Relance 1 à envoyer",IF(AND(V500&lt;&gt;"",V500&lt;=TODAY()),"Relance 2 à envoyer",IF(AND(O500&lt;&gt;"",O500&lt;=TODAY()),"Rappel à faire",""))))</f>
        <v/>
      </c>
    </row>
    <row r="501" customFormat="false" ht="15" hidden="false" customHeight="false" outlineLevel="0" collapsed="false">
      <c r="A501" s="7" t="n">
        <v>500</v>
      </c>
      <c r="B501" s="8"/>
      <c r="C501" s="8"/>
      <c r="D501" s="7"/>
      <c r="E501" s="7"/>
      <c r="F501" s="8"/>
      <c r="G501" s="7"/>
      <c r="H501" s="7"/>
      <c r="I501" s="8"/>
      <c r="J501" s="9"/>
      <c r="K501" s="9"/>
      <c r="L501" s="7"/>
      <c r="M501" s="7"/>
      <c r="N501" s="8"/>
      <c r="O501" s="9"/>
      <c r="P501" s="9"/>
      <c r="Q501" s="9"/>
      <c r="R501" s="9"/>
      <c r="S501" s="8"/>
      <c r="T501" s="9" t="str">
        <f aca="false">IF(J501="","",EDATE(MAX(J501,K501,P501,Q501,R501),36))</f>
        <v/>
      </c>
      <c r="U501" s="9" t="str">
        <f aca="false">IF(OR(L501&lt;&gt;"Email",K501="",P501&lt;&gt;"",M501="Opposition",M501="Pas intéressé",M501="Client",M501="Rendez-vous pris",M501="Numéro erroné"),"",WORKDAY(K501,5))</f>
        <v/>
      </c>
      <c r="V501" s="9" t="str">
        <f aca="false">IF(OR(P501="",Q501&lt;&gt;"",M501="Opposition",M501="Pas intéressé",M501="Client",M501="Rendez-vous pris",M501="Numéro erroné"),"",WORKDAY(P501,7))</f>
        <v/>
      </c>
      <c r="W501" s="7" t="str">
        <f aca="true">IF(M501="Opposition","Ne pas contacter",IF(AND(U501&lt;&gt;"",U501&lt;=TODAY()),"Relance 1 à envoyer",IF(AND(V501&lt;&gt;"",V501&lt;=TODAY()),"Relance 2 à envoyer",IF(AND(O501&lt;&gt;"",O501&lt;=TODAY()),"Rappel à faire",""))))</f>
        <v/>
      </c>
    </row>
  </sheetData>
  <autoFilter ref="A1:W501"/>
  <conditionalFormatting sqref="W2:W501">
    <cfRule type="expression" priority="2" aboveAverage="0" equalAverage="0" bottom="0" percent="0" rank="0" text="" dxfId="3">
      <formula>AND(W2&lt;&gt;"",W2&lt;&gt;"Ne pas contacter")</formula>
    </cfRule>
  </conditionalFormatting>
  <conditionalFormatting sqref="A2:W501">
    <cfRule type="expression" priority="3" aboveAverage="0" equalAverage="0" bottom="0" percent="0" rank="0" text="" dxfId="4">
      <formula>$M2="Opposition"</formula>
    </cfRule>
  </conditionalFormatting>
  <dataValidations count="4">
    <dataValidation allowBlank="true" errorStyle="stop" operator="between" showDropDown="false" showErrorMessage="false" showInputMessage="false" sqref="M2:M501" type="list">
      <formula1>"À contacter,Contacté par email,Email à envoyer,À rappeler,Relancé,Rendez-vous pris,Devis envoyé,Client,Pas intéressé,Opposition,Numéro erroné"</formula1>
      <formula2>0</formula2>
    </dataValidation>
    <dataValidation allowBlank="true" errorStyle="stop" operator="between" showDropDown="false" showErrorMessage="false" showInputMessage="false" sqref="L2:L501" type="list">
      <formula1>"Email,Téléphone"</formula1>
      <formula2>0</formula2>
    </dataValidation>
    <dataValidation allowBlank="true" errorStyle="stop" operator="between" showDropDown="false" showErrorMessage="false" showInputMessage="false" sqref="F2:F501" type="list">
      <formula1>"Aucun site trouvé,Page réseau social seulement,Site existant"</formula1>
      <formula2>0</formula2>
    </dataValidation>
    <dataValidation allowBlank="true" error="Saisis une date au format JJ/MM/AAAA." errorStyle="stop" errorTitle="Date" operator="greaterThan" showDropDown="false" showErrorMessage="false" showInputMessage="false" sqref="J2:K501 O2:R5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</cols>
  <sheetData>
    <row r="1" customFormat="false" ht="17.35" hidden="false" customHeight="false" outlineLevel="0" collapsed="false">
      <c r="A1" s="10" t="s">
        <v>47</v>
      </c>
    </row>
    <row r="3" customFormat="false" ht="15" hidden="false" customHeight="false" outlineLevel="0" collapsed="false">
      <c r="A3" s="11" t="s">
        <v>48</v>
      </c>
      <c r="B3" s="11" t="s">
        <v>49</v>
      </c>
    </row>
    <row r="4" customFormat="false" ht="15" hidden="false" customHeight="false" outlineLevel="0" collapsed="false">
      <c r="A4" s="12" t="s">
        <v>50</v>
      </c>
      <c r="B4" s="12" t="n">
        <f aca="false">COUNTA(Prospects!B2:B501)</f>
        <v>0</v>
      </c>
    </row>
    <row r="5" customFormat="false" ht="15" hidden="false" customHeight="false" outlineLevel="0" collapsed="false">
      <c r="A5" s="12" t="s">
        <v>51</v>
      </c>
      <c r="B5" s="12" t="n">
        <f aca="false">COUNT(Prospects!K2:K501)</f>
        <v>0</v>
      </c>
    </row>
    <row r="6" customFormat="false" ht="15" hidden="false" customHeight="false" outlineLevel="0" collapsed="false">
      <c r="A6" s="12" t="s">
        <v>52</v>
      </c>
      <c r="B6" s="12" t="n">
        <f aca="false">COUNTIF(Prospects!L2:L501,"Email")</f>
        <v>0</v>
      </c>
    </row>
    <row r="7" customFormat="false" ht="15" hidden="false" customHeight="false" outlineLevel="0" collapsed="false">
      <c r="A7" s="12" t="s">
        <v>53</v>
      </c>
      <c r="B7" s="12" t="n">
        <f aca="false">COUNTIF(Prospects!L2:L501,"Téléphone")</f>
        <v>0</v>
      </c>
    </row>
    <row r="8" customFormat="false" ht="15" hidden="false" customHeight="false" outlineLevel="0" collapsed="false">
      <c r="A8" s="12" t="s">
        <v>54</v>
      </c>
      <c r="B8" s="12" t="n">
        <f aca="false">COUNT(Prospects!R2:R501)</f>
        <v>0</v>
      </c>
    </row>
    <row r="9" customFormat="false" ht="15" hidden="false" customHeight="false" outlineLevel="0" collapsed="false">
      <c r="A9" s="12" t="s">
        <v>55</v>
      </c>
      <c r="B9" s="12" t="n">
        <f aca="false">COUNTIF(Prospects!M2:M501,"À contacter")</f>
        <v>0</v>
      </c>
    </row>
    <row r="10" customFormat="false" ht="15" hidden="false" customHeight="false" outlineLevel="0" collapsed="false">
      <c r="A10" s="12" t="s">
        <v>56</v>
      </c>
      <c r="B10" s="12" t="n">
        <f aca="false">COUNTIF(Prospects!M2:M501,"Contacté par email")</f>
        <v>0</v>
      </c>
    </row>
    <row r="11" customFormat="false" ht="15" hidden="false" customHeight="false" outlineLevel="0" collapsed="false">
      <c r="A11" s="12" t="s">
        <v>57</v>
      </c>
      <c r="B11" s="12" t="n">
        <f aca="false">COUNTIF(Prospects!M2:M501,"Email à envoyer")</f>
        <v>0</v>
      </c>
    </row>
    <row r="12" customFormat="false" ht="15" hidden="false" customHeight="false" outlineLevel="0" collapsed="false">
      <c r="A12" s="12" t="s">
        <v>58</v>
      </c>
      <c r="B12" s="12" t="n">
        <f aca="false">COUNTIF(Prospects!M2:M501,"À rappeler")</f>
        <v>0</v>
      </c>
    </row>
    <row r="13" customFormat="false" ht="15" hidden="false" customHeight="false" outlineLevel="0" collapsed="false">
      <c r="A13" s="12" t="s">
        <v>59</v>
      </c>
      <c r="B13" s="12" t="n">
        <f aca="false">COUNTIF(Prospects!M2:M501,"Relancé")</f>
        <v>0</v>
      </c>
    </row>
    <row r="14" customFormat="false" ht="15" hidden="false" customHeight="false" outlineLevel="0" collapsed="false">
      <c r="A14" s="12" t="s">
        <v>60</v>
      </c>
      <c r="B14" s="12" t="n">
        <f aca="false">COUNTIF(Prospects!M2:M501,"Rendez-vous pris")</f>
        <v>0</v>
      </c>
    </row>
    <row r="15" customFormat="false" ht="15" hidden="false" customHeight="false" outlineLevel="0" collapsed="false">
      <c r="A15" s="12" t="s">
        <v>61</v>
      </c>
      <c r="B15" s="12" t="n">
        <f aca="false">COUNTIF(Prospects!M2:M501,"Devis envoyé")</f>
        <v>0</v>
      </c>
    </row>
    <row r="16" customFormat="false" ht="15" hidden="false" customHeight="false" outlineLevel="0" collapsed="false">
      <c r="A16" s="12" t="s">
        <v>62</v>
      </c>
      <c r="B16" s="12" t="n">
        <f aca="false">COUNTIF(Prospects!M2:M501,"Client")</f>
        <v>0</v>
      </c>
    </row>
    <row r="17" customFormat="false" ht="15" hidden="false" customHeight="false" outlineLevel="0" collapsed="false">
      <c r="A17" s="12" t="s">
        <v>63</v>
      </c>
      <c r="B17" s="12" t="n">
        <f aca="false">COUNTIF(Prospects!M2:M501,"Pas intéressé")</f>
        <v>0</v>
      </c>
    </row>
    <row r="18" customFormat="false" ht="15" hidden="false" customHeight="false" outlineLevel="0" collapsed="false">
      <c r="A18" s="12" t="s">
        <v>64</v>
      </c>
      <c r="B18" s="12" t="n">
        <f aca="false">COUNTIF(Prospects!M2:M501,"Opposition")</f>
        <v>0</v>
      </c>
    </row>
    <row r="19" customFormat="false" ht="15" hidden="false" customHeight="false" outlineLevel="0" collapsed="false">
      <c r="A19" s="12" t="s">
        <v>65</v>
      </c>
      <c r="B19" s="12" t="n">
        <f aca="false">COUNTIF(Prospects!M2:M501,"Numéro erroné")</f>
        <v>0</v>
      </c>
    </row>
    <row r="20" customFormat="false" ht="15" hidden="false" customHeight="false" outlineLevel="0" collapsed="false">
      <c r="A20" s="12" t="s">
        <v>66</v>
      </c>
      <c r="B20" s="12" t="n">
        <f aca="false">COUNTIF(Prospects!W2:W501,"*à*")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40"/>
  </cols>
  <sheetData>
    <row r="1" customFormat="false" ht="15" hidden="false" customHeight="false" outlineLevel="0" collapsed="false">
      <c r="A1" s="5" t="s">
        <v>25</v>
      </c>
      <c r="B1" s="5" t="s">
        <v>67</v>
      </c>
      <c r="C1" s="5" t="s">
        <v>68</v>
      </c>
      <c r="D1" s="5" t="s">
        <v>69</v>
      </c>
      <c r="E1" s="5" t="s">
        <v>70</v>
      </c>
      <c r="F1" s="5" t="s">
        <v>42</v>
      </c>
      <c r="H1" s="13" t="s">
        <v>71</v>
      </c>
    </row>
    <row r="2" customFormat="false" ht="15" hidden="false" customHeight="false" outlineLevel="0" collapsed="false">
      <c r="A2" s="12"/>
      <c r="B2" s="12"/>
      <c r="C2" s="14"/>
      <c r="D2" s="12"/>
      <c r="E2" s="14"/>
      <c r="F2" s="12"/>
    </row>
    <row r="3" customFormat="false" ht="15" hidden="false" customHeight="false" outlineLevel="0" collapsed="false">
      <c r="A3" s="12"/>
      <c r="B3" s="12"/>
      <c r="C3" s="14"/>
      <c r="D3" s="12"/>
      <c r="E3" s="14"/>
      <c r="F3" s="12"/>
    </row>
    <row r="4" customFormat="false" ht="15" hidden="false" customHeight="false" outlineLevel="0" collapsed="false">
      <c r="A4" s="12"/>
      <c r="B4" s="12"/>
      <c r="C4" s="14"/>
      <c r="D4" s="12"/>
      <c r="E4" s="14"/>
      <c r="F4" s="12"/>
    </row>
    <row r="5" customFormat="false" ht="15" hidden="false" customHeight="false" outlineLevel="0" collapsed="false">
      <c r="A5" s="12"/>
      <c r="B5" s="12"/>
      <c r="C5" s="14"/>
      <c r="D5" s="12"/>
      <c r="E5" s="14"/>
      <c r="F5" s="12"/>
    </row>
    <row r="6" customFormat="false" ht="15" hidden="false" customHeight="false" outlineLevel="0" collapsed="false">
      <c r="A6" s="12"/>
      <c r="B6" s="12"/>
      <c r="C6" s="14"/>
      <c r="D6" s="12"/>
      <c r="E6" s="14"/>
      <c r="F6" s="12"/>
    </row>
    <row r="7" customFormat="false" ht="15" hidden="false" customHeight="false" outlineLevel="0" collapsed="false">
      <c r="A7" s="12"/>
      <c r="B7" s="12"/>
      <c r="C7" s="14"/>
      <c r="D7" s="12"/>
      <c r="E7" s="14"/>
      <c r="F7" s="12"/>
    </row>
    <row r="8" customFormat="false" ht="15" hidden="false" customHeight="false" outlineLevel="0" collapsed="false">
      <c r="A8" s="12"/>
      <c r="B8" s="12"/>
      <c r="C8" s="14"/>
      <c r="D8" s="12"/>
      <c r="E8" s="14"/>
      <c r="F8" s="12"/>
    </row>
    <row r="9" customFormat="false" ht="15" hidden="false" customHeight="false" outlineLevel="0" collapsed="false">
      <c r="A9" s="12"/>
      <c r="B9" s="12"/>
      <c r="C9" s="14"/>
      <c r="D9" s="12"/>
      <c r="E9" s="14"/>
      <c r="F9" s="12"/>
    </row>
    <row r="10" customFormat="false" ht="15" hidden="false" customHeight="false" outlineLevel="0" collapsed="false">
      <c r="A10" s="12"/>
      <c r="B10" s="12"/>
      <c r="C10" s="14"/>
      <c r="D10" s="12"/>
      <c r="E10" s="14"/>
      <c r="F10" s="12"/>
    </row>
    <row r="11" customFormat="false" ht="15" hidden="false" customHeight="false" outlineLevel="0" collapsed="false">
      <c r="A11" s="12"/>
      <c r="B11" s="12"/>
      <c r="C11" s="14"/>
      <c r="D11" s="12"/>
      <c r="E11" s="14"/>
      <c r="F11" s="12"/>
    </row>
    <row r="12" customFormat="false" ht="15" hidden="false" customHeight="false" outlineLevel="0" collapsed="false">
      <c r="A12" s="12"/>
      <c r="B12" s="12"/>
      <c r="C12" s="14"/>
      <c r="D12" s="12"/>
      <c r="E12" s="14"/>
      <c r="F12" s="12"/>
    </row>
    <row r="13" customFormat="false" ht="15" hidden="false" customHeight="false" outlineLevel="0" collapsed="false">
      <c r="A13" s="12"/>
      <c r="B13" s="12"/>
      <c r="C13" s="14"/>
      <c r="D13" s="12"/>
      <c r="E13" s="14"/>
      <c r="F13" s="12"/>
    </row>
    <row r="14" customFormat="false" ht="15" hidden="false" customHeight="false" outlineLevel="0" collapsed="false">
      <c r="A14" s="12"/>
      <c r="B14" s="12"/>
      <c r="C14" s="14"/>
      <c r="D14" s="12"/>
      <c r="E14" s="14"/>
      <c r="F14" s="12"/>
    </row>
    <row r="15" customFormat="false" ht="15" hidden="false" customHeight="false" outlineLevel="0" collapsed="false">
      <c r="A15" s="12"/>
      <c r="B15" s="12"/>
      <c r="C15" s="14"/>
      <c r="D15" s="12"/>
      <c r="E15" s="14"/>
      <c r="F15" s="12"/>
    </row>
    <row r="16" customFormat="false" ht="15" hidden="false" customHeight="false" outlineLevel="0" collapsed="false">
      <c r="A16" s="12"/>
      <c r="B16" s="12"/>
      <c r="C16" s="14"/>
      <c r="D16" s="12"/>
      <c r="E16" s="14"/>
      <c r="F16" s="12"/>
    </row>
    <row r="17" customFormat="false" ht="15" hidden="false" customHeight="false" outlineLevel="0" collapsed="false">
      <c r="A17" s="12"/>
      <c r="B17" s="12"/>
      <c r="C17" s="14"/>
      <c r="D17" s="12"/>
      <c r="E17" s="14"/>
      <c r="F17" s="12"/>
    </row>
    <row r="18" customFormat="false" ht="15" hidden="false" customHeight="false" outlineLevel="0" collapsed="false">
      <c r="A18" s="12"/>
      <c r="B18" s="12"/>
      <c r="C18" s="14"/>
      <c r="D18" s="12"/>
      <c r="E18" s="14"/>
      <c r="F18" s="12"/>
    </row>
    <row r="19" customFormat="false" ht="15" hidden="false" customHeight="false" outlineLevel="0" collapsed="false">
      <c r="A19" s="12"/>
      <c r="B19" s="12"/>
      <c r="C19" s="14"/>
      <c r="D19" s="12"/>
      <c r="E19" s="14"/>
      <c r="F19" s="12"/>
    </row>
    <row r="20" customFormat="false" ht="15" hidden="false" customHeight="false" outlineLevel="0" collapsed="false">
      <c r="A20" s="12"/>
      <c r="B20" s="12"/>
      <c r="C20" s="14"/>
      <c r="D20" s="12"/>
      <c r="E20" s="14"/>
      <c r="F20" s="12"/>
    </row>
    <row r="21" customFormat="false" ht="15" hidden="false" customHeight="false" outlineLevel="0" collapsed="false">
      <c r="A21" s="12"/>
      <c r="B21" s="12"/>
      <c r="C21" s="14"/>
      <c r="D21" s="12"/>
      <c r="E21" s="14"/>
      <c r="F21" s="12"/>
    </row>
    <row r="22" customFormat="false" ht="15" hidden="false" customHeight="false" outlineLevel="0" collapsed="false">
      <c r="A22" s="12"/>
      <c r="B22" s="12"/>
      <c r="C22" s="14"/>
      <c r="D22" s="12"/>
      <c r="E22" s="14"/>
      <c r="F22" s="12"/>
    </row>
    <row r="23" customFormat="false" ht="15" hidden="false" customHeight="false" outlineLevel="0" collapsed="false">
      <c r="A23" s="12"/>
      <c r="B23" s="12"/>
      <c r="C23" s="14"/>
      <c r="D23" s="12"/>
      <c r="E23" s="14"/>
      <c r="F23" s="12"/>
    </row>
    <row r="24" customFormat="false" ht="15" hidden="false" customHeight="false" outlineLevel="0" collapsed="false">
      <c r="A24" s="12"/>
      <c r="B24" s="12"/>
      <c r="C24" s="14"/>
      <c r="D24" s="12"/>
      <c r="E24" s="14"/>
      <c r="F24" s="12"/>
    </row>
    <row r="25" customFormat="false" ht="15" hidden="false" customHeight="false" outlineLevel="0" collapsed="false">
      <c r="A25" s="12"/>
      <c r="B25" s="12"/>
      <c r="C25" s="14"/>
      <c r="D25" s="12"/>
      <c r="E25" s="14"/>
      <c r="F25" s="12"/>
    </row>
    <row r="26" customFormat="false" ht="15" hidden="false" customHeight="false" outlineLevel="0" collapsed="false">
      <c r="A26" s="12"/>
      <c r="B26" s="12"/>
      <c r="C26" s="14"/>
      <c r="D26" s="12"/>
      <c r="E26" s="14"/>
      <c r="F26" s="12"/>
    </row>
    <row r="27" customFormat="false" ht="15" hidden="false" customHeight="false" outlineLevel="0" collapsed="false">
      <c r="A27" s="12"/>
      <c r="B27" s="12"/>
      <c r="C27" s="14"/>
      <c r="D27" s="12"/>
      <c r="E27" s="14"/>
      <c r="F27" s="12"/>
    </row>
    <row r="28" customFormat="false" ht="15" hidden="false" customHeight="false" outlineLevel="0" collapsed="false">
      <c r="A28" s="12"/>
      <c r="B28" s="12"/>
      <c r="C28" s="14"/>
      <c r="D28" s="12"/>
      <c r="E28" s="14"/>
      <c r="F28" s="12"/>
    </row>
    <row r="29" customFormat="false" ht="15" hidden="false" customHeight="false" outlineLevel="0" collapsed="false">
      <c r="A29" s="12"/>
      <c r="B29" s="12"/>
      <c r="C29" s="14"/>
      <c r="D29" s="12"/>
      <c r="E29" s="14"/>
      <c r="F29" s="12"/>
    </row>
    <row r="30" customFormat="false" ht="15" hidden="false" customHeight="false" outlineLevel="0" collapsed="false">
      <c r="A30" s="12"/>
      <c r="B30" s="12"/>
      <c r="C30" s="14"/>
      <c r="D30" s="12"/>
      <c r="E30" s="14"/>
      <c r="F30" s="12"/>
    </row>
    <row r="31" customFormat="false" ht="15" hidden="false" customHeight="false" outlineLevel="0" collapsed="false">
      <c r="A31" s="12"/>
      <c r="B31" s="12"/>
      <c r="C31" s="14"/>
      <c r="D31" s="12"/>
      <c r="E31" s="14"/>
      <c r="F31" s="12"/>
    </row>
    <row r="32" customFormat="false" ht="15" hidden="false" customHeight="false" outlineLevel="0" collapsed="false">
      <c r="A32" s="12"/>
      <c r="B32" s="12"/>
      <c r="C32" s="14"/>
      <c r="D32" s="12"/>
      <c r="E32" s="14"/>
      <c r="F32" s="12"/>
    </row>
    <row r="33" customFormat="false" ht="15" hidden="false" customHeight="false" outlineLevel="0" collapsed="false">
      <c r="A33" s="12"/>
      <c r="B33" s="12"/>
      <c r="C33" s="14"/>
      <c r="D33" s="12"/>
      <c r="E33" s="14"/>
      <c r="F33" s="12"/>
    </row>
    <row r="34" customFormat="false" ht="15" hidden="false" customHeight="false" outlineLevel="0" collapsed="false">
      <c r="A34" s="12"/>
      <c r="B34" s="12"/>
      <c r="C34" s="14"/>
      <c r="D34" s="12"/>
      <c r="E34" s="14"/>
      <c r="F34" s="12"/>
    </row>
    <row r="35" customFormat="false" ht="15" hidden="false" customHeight="false" outlineLevel="0" collapsed="false">
      <c r="A35" s="12"/>
      <c r="B35" s="12"/>
      <c r="C35" s="14"/>
      <c r="D35" s="12"/>
      <c r="E35" s="14"/>
      <c r="F35" s="12"/>
    </row>
    <row r="36" customFormat="false" ht="15" hidden="false" customHeight="false" outlineLevel="0" collapsed="false">
      <c r="A36" s="12"/>
      <c r="B36" s="12"/>
      <c r="C36" s="14"/>
      <c r="D36" s="12"/>
      <c r="E36" s="14"/>
      <c r="F36" s="12"/>
    </row>
    <row r="37" customFormat="false" ht="15" hidden="false" customHeight="false" outlineLevel="0" collapsed="false">
      <c r="A37" s="12"/>
      <c r="B37" s="12"/>
      <c r="C37" s="14"/>
      <c r="D37" s="12"/>
      <c r="E37" s="14"/>
      <c r="F37" s="12"/>
    </row>
    <row r="38" customFormat="false" ht="15" hidden="false" customHeight="false" outlineLevel="0" collapsed="false">
      <c r="A38" s="12"/>
      <c r="B38" s="12"/>
      <c r="C38" s="14"/>
      <c r="D38" s="12"/>
      <c r="E38" s="14"/>
      <c r="F38" s="12"/>
    </row>
    <row r="39" customFormat="false" ht="15" hidden="false" customHeight="false" outlineLevel="0" collapsed="false">
      <c r="A39" s="12"/>
      <c r="B39" s="12"/>
      <c r="C39" s="14"/>
      <c r="D39" s="12"/>
      <c r="E39" s="14"/>
      <c r="F39" s="12"/>
    </row>
    <row r="40" customFormat="false" ht="15" hidden="false" customHeight="false" outlineLevel="0" collapsed="false">
      <c r="A40" s="12"/>
      <c r="B40" s="12"/>
      <c r="C40" s="14"/>
      <c r="D40" s="12"/>
      <c r="E40" s="14"/>
      <c r="F40" s="12"/>
    </row>
    <row r="41" customFormat="false" ht="15" hidden="false" customHeight="false" outlineLevel="0" collapsed="false">
      <c r="A41" s="12"/>
      <c r="B41" s="12"/>
      <c r="C41" s="14"/>
      <c r="D41" s="12"/>
      <c r="E41" s="14"/>
      <c r="F41" s="12"/>
    </row>
    <row r="42" customFormat="false" ht="15" hidden="false" customHeight="false" outlineLevel="0" collapsed="false">
      <c r="A42" s="12"/>
      <c r="B42" s="12"/>
      <c r="C42" s="14"/>
      <c r="D42" s="12"/>
      <c r="E42" s="14"/>
      <c r="F42" s="12"/>
    </row>
    <row r="43" customFormat="false" ht="15" hidden="false" customHeight="false" outlineLevel="0" collapsed="false">
      <c r="A43" s="12"/>
      <c r="B43" s="12"/>
      <c r="C43" s="14"/>
      <c r="D43" s="12"/>
      <c r="E43" s="14"/>
      <c r="F43" s="12"/>
    </row>
    <row r="44" customFormat="false" ht="15" hidden="false" customHeight="false" outlineLevel="0" collapsed="false">
      <c r="A44" s="12"/>
      <c r="B44" s="12"/>
      <c r="C44" s="14"/>
      <c r="D44" s="12"/>
      <c r="E44" s="14"/>
      <c r="F44" s="12"/>
    </row>
    <row r="45" customFormat="false" ht="15" hidden="false" customHeight="false" outlineLevel="0" collapsed="false">
      <c r="A45" s="12"/>
      <c r="B45" s="12"/>
      <c r="C45" s="14"/>
      <c r="D45" s="12"/>
      <c r="E45" s="14"/>
      <c r="F45" s="12"/>
    </row>
    <row r="46" customFormat="false" ht="15" hidden="false" customHeight="false" outlineLevel="0" collapsed="false">
      <c r="A46" s="12"/>
      <c r="B46" s="12"/>
      <c r="C46" s="14"/>
      <c r="D46" s="12"/>
      <c r="E46" s="14"/>
      <c r="F46" s="12"/>
    </row>
    <row r="47" customFormat="false" ht="15" hidden="false" customHeight="false" outlineLevel="0" collapsed="false">
      <c r="A47" s="12"/>
      <c r="B47" s="12"/>
      <c r="C47" s="14"/>
      <c r="D47" s="12"/>
      <c r="E47" s="14"/>
      <c r="F47" s="12"/>
    </row>
    <row r="48" customFormat="false" ht="15" hidden="false" customHeight="false" outlineLevel="0" collapsed="false">
      <c r="A48" s="12"/>
      <c r="B48" s="12"/>
      <c r="C48" s="14"/>
      <c r="D48" s="12"/>
      <c r="E48" s="14"/>
      <c r="F48" s="12"/>
    </row>
    <row r="49" customFormat="false" ht="15" hidden="false" customHeight="false" outlineLevel="0" collapsed="false">
      <c r="A49" s="12"/>
      <c r="B49" s="12"/>
      <c r="C49" s="14"/>
      <c r="D49" s="12"/>
      <c r="E49" s="14"/>
      <c r="F49" s="12"/>
    </row>
    <row r="50" customFormat="false" ht="15" hidden="false" customHeight="false" outlineLevel="0" collapsed="false">
      <c r="A50" s="12"/>
      <c r="B50" s="12"/>
      <c r="C50" s="14"/>
      <c r="D50" s="12"/>
      <c r="E50" s="14"/>
      <c r="F50" s="12"/>
    </row>
    <row r="51" customFormat="false" ht="15" hidden="false" customHeight="false" outlineLevel="0" collapsed="false">
      <c r="A51" s="12"/>
      <c r="B51" s="12"/>
      <c r="C51" s="14"/>
      <c r="D51" s="12"/>
      <c r="E51" s="14"/>
      <c r="F51" s="12"/>
    </row>
    <row r="52" customFormat="false" ht="15" hidden="false" customHeight="false" outlineLevel="0" collapsed="false">
      <c r="A52" s="12"/>
      <c r="B52" s="12"/>
      <c r="C52" s="14"/>
      <c r="D52" s="12"/>
      <c r="E52" s="14"/>
      <c r="F52" s="12"/>
    </row>
    <row r="53" customFormat="false" ht="15" hidden="false" customHeight="false" outlineLevel="0" collapsed="false">
      <c r="A53" s="12"/>
      <c r="B53" s="12"/>
      <c r="C53" s="14"/>
      <c r="D53" s="12"/>
      <c r="E53" s="14"/>
      <c r="F53" s="12"/>
    </row>
    <row r="54" customFormat="false" ht="15" hidden="false" customHeight="false" outlineLevel="0" collapsed="false">
      <c r="A54" s="12"/>
      <c r="B54" s="12"/>
      <c r="C54" s="14"/>
      <c r="D54" s="12"/>
      <c r="E54" s="14"/>
      <c r="F54" s="12"/>
    </row>
    <row r="55" customFormat="false" ht="15" hidden="false" customHeight="false" outlineLevel="0" collapsed="false">
      <c r="A55" s="12"/>
      <c r="B55" s="12"/>
      <c r="C55" s="14"/>
      <c r="D55" s="12"/>
      <c r="E55" s="14"/>
      <c r="F55" s="12"/>
    </row>
    <row r="56" customFormat="false" ht="15" hidden="false" customHeight="false" outlineLevel="0" collapsed="false">
      <c r="A56" s="12"/>
      <c r="B56" s="12"/>
      <c r="C56" s="14"/>
      <c r="D56" s="12"/>
      <c r="E56" s="14"/>
      <c r="F56" s="12"/>
    </row>
    <row r="57" customFormat="false" ht="15" hidden="false" customHeight="false" outlineLevel="0" collapsed="false">
      <c r="A57" s="12"/>
      <c r="B57" s="12"/>
      <c r="C57" s="14"/>
      <c r="D57" s="12"/>
      <c r="E57" s="14"/>
      <c r="F57" s="12"/>
    </row>
    <row r="58" customFormat="false" ht="15" hidden="false" customHeight="false" outlineLevel="0" collapsed="false">
      <c r="A58" s="12"/>
      <c r="B58" s="12"/>
      <c r="C58" s="14"/>
      <c r="D58" s="12"/>
      <c r="E58" s="14"/>
      <c r="F58" s="12"/>
    </row>
    <row r="59" customFormat="false" ht="15" hidden="false" customHeight="false" outlineLevel="0" collapsed="false">
      <c r="A59" s="12"/>
      <c r="B59" s="12"/>
      <c r="C59" s="14"/>
      <c r="D59" s="12"/>
      <c r="E59" s="14"/>
      <c r="F59" s="12"/>
    </row>
    <row r="60" customFormat="false" ht="15" hidden="false" customHeight="false" outlineLevel="0" collapsed="false">
      <c r="A60" s="12"/>
      <c r="B60" s="12"/>
      <c r="C60" s="14"/>
      <c r="D60" s="12"/>
      <c r="E60" s="14"/>
      <c r="F60" s="12"/>
    </row>
    <row r="61" customFormat="false" ht="15" hidden="false" customHeight="false" outlineLevel="0" collapsed="false">
      <c r="A61" s="12"/>
      <c r="B61" s="12"/>
      <c r="C61" s="14"/>
      <c r="D61" s="12"/>
      <c r="E61" s="14"/>
      <c r="F61" s="12"/>
    </row>
    <row r="62" customFormat="false" ht="15" hidden="false" customHeight="false" outlineLevel="0" collapsed="false">
      <c r="A62" s="12"/>
      <c r="B62" s="12"/>
      <c r="C62" s="14"/>
      <c r="D62" s="12"/>
      <c r="E62" s="14"/>
      <c r="F62" s="12"/>
    </row>
    <row r="63" customFormat="false" ht="15" hidden="false" customHeight="false" outlineLevel="0" collapsed="false">
      <c r="A63" s="12"/>
      <c r="B63" s="12"/>
      <c r="C63" s="14"/>
      <c r="D63" s="12"/>
      <c r="E63" s="14"/>
      <c r="F63" s="12"/>
    </row>
    <row r="64" customFormat="false" ht="15" hidden="false" customHeight="false" outlineLevel="0" collapsed="false">
      <c r="A64" s="12"/>
      <c r="B64" s="12"/>
      <c r="C64" s="14"/>
      <c r="D64" s="12"/>
      <c r="E64" s="14"/>
      <c r="F64" s="12"/>
    </row>
    <row r="65" customFormat="false" ht="15" hidden="false" customHeight="false" outlineLevel="0" collapsed="false">
      <c r="A65" s="12"/>
      <c r="B65" s="12"/>
      <c r="C65" s="14"/>
      <c r="D65" s="12"/>
      <c r="E65" s="14"/>
      <c r="F65" s="12"/>
    </row>
    <row r="66" customFormat="false" ht="15" hidden="false" customHeight="false" outlineLevel="0" collapsed="false">
      <c r="A66" s="12"/>
      <c r="B66" s="12"/>
      <c r="C66" s="14"/>
      <c r="D66" s="12"/>
      <c r="E66" s="14"/>
      <c r="F66" s="12"/>
    </row>
    <row r="67" customFormat="false" ht="15" hidden="false" customHeight="false" outlineLevel="0" collapsed="false">
      <c r="A67" s="12"/>
      <c r="B67" s="12"/>
      <c r="C67" s="14"/>
      <c r="D67" s="12"/>
      <c r="E67" s="14"/>
      <c r="F67" s="12"/>
    </row>
    <row r="68" customFormat="false" ht="15" hidden="false" customHeight="false" outlineLevel="0" collapsed="false">
      <c r="A68" s="12"/>
      <c r="B68" s="12"/>
      <c r="C68" s="14"/>
      <c r="D68" s="12"/>
      <c r="E68" s="14"/>
      <c r="F68" s="12"/>
    </row>
    <row r="69" customFormat="false" ht="15" hidden="false" customHeight="false" outlineLevel="0" collapsed="false">
      <c r="A69" s="12"/>
      <c r="B69" s="12"/>
      <c r="C69" s="14"/>
      <c r="D69" s="12"/>
      <c r="E69" s="14"/>
      <c r="F69" s="12"/>
    </row>
    <row r="70" customFormat="false" ht="15" hidden="false" customHeight="false" outlineLevel="0" collapsed="false">
      <c r="A70" s="12"/>
      <c r="B70" s="12"/>
      <c r="C70" s="14"/>
      <c r="D70" s="12"/>
      <c r="E70" s="14"/>
      <c r="F70" s="12"/>
    </row>
    <row r="71" customFormat="false" ht="15" hidden="false" customHeight="false" outlineLevel="0" collapsed="false">
      <c r="A71" s="12"/>
      <c r="B71" s="12"/>
      <c r="C71" s="14"/>
      <c r="D71" s="12"/>
      <c r="E71" s="14"/>
      <c r="F71" s="12"/>
    </row>
    <row r="72" customFormat="false" ht="15" hidden="false" customHeight="false" outlineLevel="0" collapsed="false">
      <c r="A72" s="12"/>
      <c r="B72" s="12"/>
      <c r="C72" s="14"/>
      <c r="D72" s="12"/>
      <c r="E72" s="14"/>
      <c r="F72" s="12"/>
    </row>
    <row r="73" customFormat="false" ht="15" hidden="false" customHeight="false" outlineLevel="0" collapsed="false">
      <c r="A73" s="12"/>
      <c r="B73" s="12"/>
      <c r="C73" s="14"/>
      <c r="D73" s="12"/>
      <c r="E73" s="14"/>
      <c r="F73" s="12"/>
    </row>
    <row r="74" customFormat="false" ht="15" hidden="false" customHeight="false" outlineLevel="0" collapsed="false">
      <c r="A74" s="12"/>
      <c r="B74" s="12"/>
      <c r="C74" s="14"/>
      <c r="D74" s="12"/>
      <c r="E74" s="14"/>
      <c r="F74" s="12"/>
    </row>
    <row r="75" customFormat="false" ht="15" hidden="false" customHeight="false" outlineLevel="0" collapsed="false">
      <c r="A75" s="12"/>
      <c r="B75" s="12"/>
      <c r="C75" s="14"/>
      <c r="D75" s="12"/>
      <c r="E75" s="14"/>
      <c r="F75" s="12"/>
    </row>
    <row r="76" customFormat="false" ht="15" hidden="false" customHeight="false" outlineLevel="0" collapsed="false">
      <c r="A76" s="12"/>
      <c r="B76" s="12"/>
      <c r="C76" s="14"/>
      <c r="D76" s="12"/>
      <c r="E76" s="14"/>
      <c r="F76" s="12"/>
    </row>
    <row r="77" customFormat="false" ht="15" hidden="false" customHeight="false" outlineLevel="0" collapsed="false">
      <c r="A77" s="12"/>
      <c r="B77" s="12"/>
      <c r="C77" s="14"/>
      <c r="D77" s="12"/>
      <c r="E77" s="14"/>
      <c r="F77" s="12"/>
    </row>
    <row r="78" customFormat="false" ht="15" hidden="false" customHeight="false" outlineLevel="0" collapsed="false">
      <c r="A78" s="12"/>
      <c r="B78" s="12"/>
      <c r="C78" s="14"/>
      <c r="D78" s="12"/>
      <c r="E78" s="14"/>
      <c r="F78" s="12"/>
    </row>
    <row r="79" customFormat="false" ht="15" hidden="false" customHeight="false" outlineLevel="0" collapsed="false">
      <c r="A79" s="12"/>
      <c r="B79" s="12"/>
      <c r="C79" s="14"/>
      <c r="D79" s="12"/>
      <c r="E79" s="14"/>
      <c r="F79" s="12"/>
    </row>
    <row r="80" customFormat="false" ht="15" hidden="false" customHeight="false" outlineLevel="0" collapsed="false">
      <c r="A80" s="12"/>
      <c r="B80" s="12"/>
      <c r="C80" s="14"/>
      <c r="D80" s="12"/>
      <c r="E80" s="14"/>
      <c r="F80" s="12"/>
    </row>
    <row r="81" customFormat="false" ht="15" hidden="false" customHeight="false" outlineLevel="0" collapsed="false">
      <c r="A81" s="12"/>
      <c r="B81" s="12"/>
      <c r="C81" s="14"/>
      <c r="D81" s="12"/>
      <c r="E81" s="14"/>
      <c r="F81" s="12"/>
    </row>
    <row r="82" customFormat="false" ht="15" hidden="false" customHeight="false" outlineLevel="0" collapsed="false">
      <c r="A82" s="12"/>
      <c r="B82" s="12"/>
      <c r="C82" s="14"/>
      <c r="D82" s="12"/>
      <c r="E82" s="14"/>
      <c r="F82" s="12"/>
    </row>
    <row r="83" customFormat="false" ht="15" hidden="false" customHeight="false" outlineLevel="0" collapsed="false">
      <c r="A83" s="12"/>
      <c r="B83" s="12"/>
      <c r="C83" s="14"/>
      <c r="D83" s="12"/>
      <c r="E83" s="14"/>
      <c r="F83" s="12"/>
    </row>
    <row r="84" customFormat="false" ht="15" hidden="false" customHeight="false" outlineLevel="0" collapsed="false">
      <c r="A84" s="12"/>
      <c r="B84" s="12"/>
      <c r="C84" s="14"/>
      <c r="D84" s="12"/>
      <c r="E84" s="14"/>
      <c r="F84" s="12"/>
    </row>
    <row r="85" customFormat="false" ht="15" hidden="false" customHeight="false" outlineLevel="0" collapsed="false">
      <c r="A85" s="12"/>
      <c r="B85" s="12"/>
      <c r="C85" s="14"/>
      <c r="D85" s="12"/>
      <c r="E85" s="14"/>
      <c r="F85" s="12"/>
    </row>
    <row r="86" customFormat="false" ht="15" hidden="false" customHeight="false" outlineLevel="0" collapsed="false">
      <c r="A86" s="12"/>
      <c r="B86" s="12"/>
      <c r="C86" s="14"/>
      <c r="D86" s="12"/>
      <c r="E86" s="14"/>
      <c r="F86" s="12"/>
    </row>
    <row r="87" customFormat="false" ht="15" hidden="false" customHeight="false" outlineLevel="0" collapsed="false">
      <c r="A87" s="12"/>
      <c r="B87" s="12"/>
      <c r="C87" s="14"/>
      <c r="D87" s="12"/>
      <c r="E87" s="14"/>
      <c r="F87" s="12"/>
    </row>
    <row r="88" customFormat="false" ht="15" hidden="false" customHeight="false" outlineLevel="0" collapsed="false">
      <c r="A88" s="12"/>
      <c r="B88" s="12"/>
      <c r="C88" s="14"/>
      <c r="D88" s="12"/>
      <c r="E88" s="14"/>
      <c r="F88" s="12"/>
    </row>
    <row r="89" customFormat="false" ht="15" hidden="false" customHeight="false" outlineLevel="0" collapsed="false">
      <c r="A89" s="12"/>
      <c r="B89" s="12"/>
      <c r="C89" s="14"/>
      <c r="D89" s="12"/>
      <c r="E89" s="14"/>
      <c r="F89" s="12"/>
    </row>
    <row r="90" customFormat="false" ht="15" hidden="false" customHeight="false" outlineLevel="0" collapsed="false">
      <c r="A90" s="12"/>
      <c r="B90" s="12"/>
      <c r="C90" s="14"/>
      <c r="D90" s="12"/>
      <c r="E90" s="14"/>
      <c r="F90" s="12"/>
    </row>
    <row r="91" customFormat="false" ht="15" hidden="false" customHeight="false" outlineLevel="0" collapsed="false">
      <c r="A91" s="12"/>
      <c r="B91" s="12"/>
      <c r="C91" s="14"/>
      <c r="D91" s="12"/>
      <c r="E91" s="14"/>
      <c r="F91" s="12"/>
    </row>
    <row r="92" customFormat="false" ht="15" hidden="false" customHeight="false" outlineLevel="0" collapsed="false">
      <c r="A92" s="12"/>
      <c r="B92" s="12"/>
      <c r="C92" s="14"/>
      <c r="D92" s="12"/>
      <c r="E92" s="14"/>
      <c r="F92" s="12"/>
    </row>
    <row r="93" customFormat="false" ht="15" hidden="false" customHeight="false" outlineLevel="0" collapsed="false">
      <c r="A93" s="12"/>
      <c r="B93" s="12"/>
      <c r="C93" s="14"/>
      <c r="D93" s="12"/>
      <c r="E93" s="14"/>
      <c r="F93" s="12"/>
    </row>
    <row r="94" customFormat="false" ht="15" hidden="false" customHeight="false" outlineLevel="0" collapsed="false">
      <c r="A94" s="12"/>
      <c r="B94" s="12"/>
      <c r="C94" s="14"/>
      <c r="D94" s="12"/>
      <c r="E94" s="14"/>
      <c r="F94" s="12"/>
    </row>
    <row r="95" customFormat="false" ht="15" hidden="false" customHeight="false" outlineLevel="0" collapsed="false">
      <c r="A95" s="12"/>
      <c r="B95" s="12"/>
      <c r="C95" s="14"/>
      <c r="D95" s="12"/>
      <c r="E95" s="14"/>
      <c r="F95" s="12"/>
    </row>
    <row r="96" customFormat="false" ht="15" hidden="false" customHeight="false" outlineLevel="0" collapsed="false">
      <c r="A96" s="12"/>
      <c r="B96" s="12"/>
      <c r="C96" s="14"/>
      <c r="D96" s="12"/>
      <c r="E96" s="14"/>
      <c r="F96" s="12"/>
    </row>
    <row r="97" customFormat="false" ht="15" hidden="false" customHeight="false" outlineLevel="0" collapsed="false">
      <c r="A97" s="12"/>
      <c r="B97" s="12"/>
      <c r="C97" s="14"/>
      <c r="D97" s="12"/>
      <c r="E97" s="14"/>
      <c r="F97" s="12"/>
    </row>
    <row r="98" customFormat="false" ht="15" hidden="false" customHeight="false" outlineLevel="0" collapsed="false">
      <c r="A98" s="12"/>
      <c r="B98" s="12"/>
      <c r="C98" s="14"/>
      <c r="D98" s="12"/>
      <c r="E98" s="14"/>
      <c r="F98" s="12"/>
    </row>
    <row r="99" customFormat="false" ht="15" hidden="false" customHeight="false" outlineLevel="0" collapsed="false">
      <c r="A99" s="12"/>
      <c r="B99" s="12"/>
      <c r="C99" s="14"/>
      <c r="D99" s="12"/>
      <c r="E99" s="14"/>
      <c r="F99" s="12"/>
    </row>
    <row r="100" customFormat="false" ht="15" hidden="false" customHeight="false" outlineLevel="0" collapsed="false">
      <c r="A100" s="12"/>
      <c r="B100" s="12"/>
      <c r="C100" s="14"/>
      <c r="D100" s="12"/>
      <c r="E100" s="14"/>
      <c r="F100" s="12"/>
    </row>
    <row r="101" customFormat="false" ht="15" hidden="false" customHeight="false" outlineLevel="0" collapsed="false">
      <c r="A101" s="12"/>
      <c r="B101" s="12"/>
      <c r="C101" s="14"/>
      <c r="D101" s="12"/>
      <c r="E101" s="14"/>
      <c r="F101" s="12"/>
    </row>
    <row r="102" customFormat="false" ht="15" hidden="false" customHeight="false" outlineLevel="0" collapsed="false">
      <c r="A102" s="12"/>
      <c r="B102" s="12"/>
      <c r="C102" s="14"/>
      <c r="D102" s="12"/>
      <c r="E102" s="14"/>
      <c r="F102" s="12"/>
    </row>
    <row r="103" customFormat="false" ht="15" hidden="false" customHeight="false" outlineLevel="0" collapsed="false">
      <c r="A103" s="12"/>
      <c r="B103" s="12"/>
      <c r="C103" s="14"/>
      <c r="D103" s="12"/>
      <c r="E103" s="14"/>
      <c r="F103" s="12"/>
    </row>
    <row r="104" customFormat="false" ht="15" hidden="false" customHeight="false" outlineLevel="0" collapsed="false">
      <c r="A104" s="12"/>
      <c r="B104" s="12"/>
      <c r="C104" s="14"/>
      <c r="D104" s="12"/>
      <c r="E104" s="14"/>
      <c r="F104" s="12"/>
    </row>
    <row r="105" customFormat="false" ht="15" hidden="false" customHeight="false" outlineLevel="0" collapsed="false">
      <c r="A105" s="12"/>
      <c r="B105" s="12"/>
      <c r="C105" s="14"/>
      <c r="D105" s="12"/>
      <c r="E105" s="14"/>
      <c r="F105" s="12"/>
    </row>
    <row r="106" customFormat="false" ht="15" hidden="false" customHeight="false" outlineLevel="0" collapsed="false">
      <c r="A106" s="12"/>
      <c r="B106" s="12"/>
      <c r="C106" s="14"/>
      <c r="D106" s="12"/>
      <c r="E106" s="14"/>
      <c r="F106" s="12"/>
    </row>
    <row r="107" customFormat="false" ht="15" hidden="false" customHeight="false" outlineLevel="0" collapsed="false">
      <c r="A107" s="12"/>
      <c r="B107" s="12"/>
      <c r="C107" s="14"/>
      <c r="D107" s="12"/>
      <c r="E107" s="14"/>
      <c r="F107" s="12"/>
    </row>
    <row r="108" customFormat="false" ht="15" hidden="false" customHeight="false" outlineLevel="0" collapsed="false">
      <c r="A108" s="12"/>
      <c r="B108" s="12"/>
      <c r="C108" s="14"/>
      <c r="D108" s="12"/>
      <c r="E108" s="14"/>
      <c r="F108" s="12"/>
    </row>
    <row r="109" customFormat="false" ht="15" hidden="false" customHeight="false" outlineLevel="0" collapsed="false">
      <c r="A109" s="12"/>
      <c r="B109" s="12"/>
      <c r="C109" s="14"/>
      <c r="D109" s="12"/>
      <c r="E109" s="14"/>
      <c r="F109" s="12"/>
    </row>
    <row r="110" customFormat="false" ht="15" hidden="false" customHeight="false" outlineLevel="0" collapsed="false">
      <c r="A110" s="12"/>
      <c r="B110" s="12"/>
      <c r="C110" s="14"/>
      <c r="D110" s="12"/>
      <c r="E110" s="14"/>
      <c r="F110" s="12"/>
    </row>
    <row r="111" customFormat="false" ht="15" hidden="false" customHeight="false" outlineLevel="0" collapsed="false">
      <c r="A111" s="12"/>
      <c r="B111" s="12"/>
      <c r="C111" s="14"/>
      <c r="D111" s="12"/>
      <c r="E111" s="14"/>
      <c r="F111" s="12"/>
    </row>
    <row r="112" customFormat="false" ht="15" hidden="false" customHeight="false" outlineLevel="0" collapsed="false">
      <c r="A112" s="12"/>
      <c r="B112" s="12"/>
      <c r="C112" s="14"/>
      <c r="D112" s="12"/>
      <c r="E112" s="14"/>
      <c r="F112" s="12"/>
    </row>
    <row r="113" customFormat="false" ht="15" hidden="false" customHeight="false" outlineLevel="0" collapsed="false">
      <c r="A113" s="12"/>
      <c r="B113" s="12"/>
      <c r="C113" s="14"/>
      <c r="D113" s="12"/>
      <c r="E113" s="14"/>
      <c r="F113" s="12"/>
    </row>
    <row r="114" customFormat="false" ht="15" hidden="false" customHeight="false" outlineLevel="0" collapsed="false">
      <c r="A114" s="12"/>
      <c r="B114" s="12"/>
      <c r="C114" s="14"/>
      <c r="D114" s="12"/>
      <c r="E114" s="14"/>
      <c r="F114" s="12"/>
    </row>
    <row r="115" customFormat="false" ht="15" hidden="false" customHeight="false" outlineLevel="0" collapsed="false">
      <c r="A115" s="12"/>
      <c r="B115" s="12"/>
      <c r="C115" s="14"/>
      <c r="D115" s="12"/>
      <c r="E115" s="14"/>
      <c r="F115" s="12"/>
    </row>
    <row r="116" customFormat="false" ht="15" hidden="false" customHeight="false" outlineLevel="0" collapsed="false">
      <c r="A116" s="12"/>
      <c r="B116" s="12"/>
      <c r="C116" s="14"/>
      <c r="D116" s="12"/>
      <c r="E116" s="14"/>
      <c r="F116" s="12"/>
    </row>
    <row r="117" customFormat="false" ht="15" hidden="false" customHeight="false" outlineLevel="0" collapsed="false">
      <c r="A117" s="12"/>
      <c r="B117" s="12"/>
      <c r="C117" s="14"/>
      <c r="D117" s="12"/>
      <c r="E117" s="14"/>
      <c r="F117" s="12"/>
    </row>
    <row r="118" customFormat="false" ht="15" hidden="false" customHeight="false" outlineLevel="0" collapsed="false">
      <c r="A118" s="12"/>
      <c r="B118" s="12"/>
      <c r="C118" s="14"/>
      <c r="D118" s="12"/>
      <c r="E118" s="14"/>
      <c r="F118" s="12"/>
    </row>
    <row r="119" customFormat="false" ht="15" hidden="false" customHeight="false" outlineLevel="0" collapsed="false">
      <c r="A119" s="12"/>
      <c r="B119" s="12"/>
      <c r="C119" s="14"/>
      <c r="D119" s="12"/>
      <c r="E119" s="14"/>
      <c r="F119" s="12"/>
    </row>
    <row r="120" customFormat="false" ht="15" hidden="false" customHeight="false" outlineLevel="0" collapsed="false">
      <c r="A120" s="12"/>
      <c r="B120" s="12"/>
      <c r="C120" s="14"/>
      <c r="D120" s="12"/>
      <c r="E120" s="14"/>
      <c r="F120" s="12"/>
    </row>
    <row r="121" customFormat="false" ht="15" hidden="false" customHeight="false" outlineLevel="0" collapsed="false">
      <c r="A121" s="12"/>
      <c r="B121" s="12"/>
      <c r="C121" s="14"/>
      <c r="D121" s="12"/>
      <c r="E121" s="14"/>
      <c r="F121" s="12"/>
    </row>
    <row r="122" customFormat="false" ht="15" hidden="false" customHeight="false" outlineLevel="0" collapsed="false">
      <c r="A122" s="12"/>
      <c r="B122" s="12"/>
      <c r="C122" s="14"/>
      <c r="D122" s="12"/>
      <c r="E122" s="14"/>
      <c r="F122" s="12"/>
    </row>
    <row r="123" customFormat="false" ht="15" hidden="false" customHeight="false" outlineLevel="0" collapsed="false">
      <c r="A123" s="12"/>
      <c r="B123" s="12"/>
      <c r="C123" s="14"/>
      <c r="D123" s="12"/>
      <c r="E123" s="14"/>
      <c r="F123" s="12"/>
    </row>
    <row r="124" customFormat="false" ht="15" hidden="false" customHeight="false" outlineLevel="0" collapsed="false">
      <c r="A124" s="12"/>
      <c r="B124" s="12"/>
      <c r="C124" s="14"/>
      <c r="D124" s="12"/>
      <c r="E124" s="14"/>
      <c r="F124" s="12"/>
    </row>
    <row r="125" customFormat="false" ht="15" hidden="false" customHeight="false" outlineLevel="0" collapsed="false">
      <c r="A125" s="12"/>
      <c r="B125" s="12"/>
      <c r="C125" s="14"/>
      <c r="D125" s="12"/>
      <c r="E125" s="14"/>
      <c r="F125" s="12"/>
    </row>
    <row r="126" customFormat="false" ht="15" hidden="false" customHeight="false" outlineLevel="0" collapsed="false">
      <c r="A126" s="12"/>
      <c r="B126" s="12"/>
      <c r="C126" s="14"/>
      <c r="D126" s="12"/>
      <c r="E126" s="14"/>
      <c r="F126" s="12"/>
    </row>
    <row r="127" customFormat="false" ht="15" hidden="false" customHeight="false" outlineLevel="0" collapsed="false">
      <c r="A127" s="12"/>
      <c r="B127" s="12"/>
      <c r="C127" s="14"/>
      <c r="D127" s="12"/>
      <c r="E127" s="14"/>
      <c r="F127" s="12"/>
    </row>
    <row r="128" customFormat="false" ht="15" hidden="false" customHeight="false" outlineLevel="0" collapsed="false">
      <c r="A128" s="12"/>
      <c r="B128" s="12"/>
      <c r="C128" s="14"/>
      <c r="D128" s="12"/>
      <c r="E128" s="14"/>
      <c r="F128" s="12"/>
    </row>
    <row r="129" customFormat="false" ht="15" hidden="false" customHeight="false" outlineLevel="0" collapsed="false">
      <c r="A129" s="12"/>
      <c r="B129" s="12"/>
      <c r="C129" s="14"/>
      <c r="D129" s="12"/>
      <c r="E129" s="14"/>
      <c r="F129" s="12"/>
    </row>
    <row r="130" customFormat="false" ht="15" hidden="false" customHeight="false" outlineLevel="0" collapsed="false">
      <c r="A130" s="12"/>
      <c r="B130" s="12"/>
      <c r="C130" s="14"/>
      <c r="D130" s="12"/>
      <c r="E130" s="14"/>
      <c r="F130" s="12"/>
    </row>
    <row r="131" customFormat="false" ht="15" hidden="false" customHeight="false" outlineLevel="0" collapsed="false">
      <c r="A131" s="12"/>
      <c r="B131" s="12"/>
      <c r="C131" s="14"/>
      <c r="D131" s="12"/>
      <c r="E131" s="14"/>
      <c r="F131" s="12"/>
    </row>
    <row r="132" customFormat="false" ht="15" hidden="false" customHeight="false" outlineLevel="0" collapsed="false">
      <c r="A132" s="12"/>
      <c r="B132" s="12"/>
      <c r="C132" s="14"/>
      <c r="D132" s="12"/>
      <c r="E132" s="14"/>
      <c r="F132" s="12"/>
    </row>
    <row r="133" customFormat="false" ht="15" hidden="false" customHeight="false" outlineLevel="0" collapsed="false">
      <c r="A133" s="12"/>
      <c r="B133" s="12"/>
      <c r="C133" s="14"/>
      <c r="D133" s="12"/>
      <c r="E133" s="14"/>
      <c r="F133" s="12"/>
    </row>
    <row r="134" customFormat="false" ht="15" hidden="false" customHeight="false" outlineLevel="0" collapsed="false">
      <c r="A134" s="12"/>
      <c r="B134" s="12"/>
      <c r="C134" s="14"/>
      <c r="D134" s="12"/>
      <c r="E134" s="14"/>
      <c r="F134" s="12"/>
    </row>
    <row r="135" customFormat="false" ht="15" hidden="false" customHeight="false" outlineLevel="0" collapsed="false">
      <c r="A135" s="12"/>
      <c r="B135" s="12"/>
      <c r="C135" s="14"/>
      <c r="D135" s="12"/>
      <c r="E135" s="14"/>
      <c r="F135" s="12"/>
    </row>
    <row r="136" customFormat="false" ht="15" hidden="false" customHeight="false" outlineLevel="0" collapsed="false">
      <c r="A136" s="12"/>
      <c r="B136" s="12"/>
      <c r="C136" s="14"/>
      <c r="D136" s="12"/>
      <c r="E136" s="14"/>
      <c r="F136" s="12"/>
    </row>
    <row r="137" customFormat="false" ht="15" hidden="false" customHeight="false" outlineLevel="0" collapsed="false">
      <c r="A137" s="12"/>
      <c r="B137" s="12"/>
      <c r="C137" s="14"/>
      <c r="D137" s="12"/>
      <c r="E137" s="14"/>
      <c r="F137" s="12"/>
    </row>
    <row r="138" customFormat="false" ht="15" hidden="false" customHeight="false" outlineLevel="0" collapsed="false">
      <c r="A138" s="12"/>
      <c r="B138" s="12"/>
      <c r="C138" s="14"/>
      <c r="D138" s="12"/>
      <c r="E138" s="14"/>
      <c r="F138" s="12"/>
    </row>
    <row r="139" customFormat="false" ht="15" hidden="false" customHeight="false" outlineLevel="0" collapsed="false">
      <c r="A139" s="12"/>
      <c r="B139" s="12"/>
      <c r="C139" s="14"/>
      <c r="D139" s="12"/>
      <c r="E139" s="14"/>
      <c r="F139" s="12"/>
    </row>
    <row r="140" customFormat="false" ht="15" hidden="false" customHeight="false" outlineLevel="0" collapsed="false">
      <c r="A140" s="12"/>
      <c r="B140" s="12"/>
      <c r="C140" s="14"/>
      <c r="D140" s="12"/>
      <c r="E140" s="14"/>
      <c r="F140" s="12"/>
    </row>
    <row r="141" customFormat="false" ht="15" hidden="false" customHeight="false" outlineLevel="0" collapsed="false">
      <c r="A141" s="12"/>
      <c r="B141" s="12"/>
      <c r="C141" s="14"/>
      <c r="D141" s="12"/>
      <c r="E141" s="14"/>
      <c r="F141" s="12"/>
    </row>
    <row r="142" customFormat="false" ht="15" hidden="false" customHeight="false" outlineLevel="0" collapsed="false">
      <c r="A142" s="12"/>
      <c r="B142" s="12"/>
      <c r="C142" s="14"/>
      <c r="D142" s="12"/>
      <c r="E142" s="14"/>
      <c r="F142" s="12"/>
    </row>
    <row r="143" customFormat="false" ht="15" hidden="false" customHeight="false" outlineLevel="0" collapsed="false">
      <c r="A143" s="12"/>
      <c r="B143" s="12"/>
      <c r="C143" s="14"/>
      <c r="D143" s="12"/>
      <c r="E143" s="14"/>
      <c r="F143" s="12"/>
    </row>
    <row r="144" customFormat="false" ht="15" hidden="false" customHeight="false" outlineLevel="0" collapsed="false">
      <c r="A144" s="12"/>
      <c r="B144" s="12"/>
      <c r="C144" s="14"/>
      <c r="D144" s="12"/>
      <c r="E144" s="14"/>
      <c r="F144" s="12"/>
    </row>
    <row r="145" customFormat="false" ht="15" hidden="false" customHeight="false" outlineLevel="0" collapsed="false">
      <c r="A145" s="12"/>
      <c r="B145" s="12"/>
      <c r="C145" s="14"/>
      <c r="D145" s="12"/>
      <c r="E145" s="14"/>
      <c r="F145" s="12"/>
    </row>
    <row r="146" customFormat="false" ht="15" hidden="false" customHeight="false" outlineLevel="0" collapsed="false">
      <c r="A146" s="12"/>
      <c r="B146" s="12"/>
      <c r="C146" s="14"/>
      <c r="D146" s="12"/>
      <c r="E146" s="14"/>
      <c r="F146" s="12"/>
    </row>
    <row r="147" customFormat="false" ht="15" hidden="false" customHeight="false" outlineLevel="0" collapsed="false">
      <c r="A147" s="12"/>
      <c r="B147" s="12"/>
      <c r="C147" s="14"/>
      <c r="D147" s="12"/>
      <c r="E147" s="14"/>
      <c r="F147" s="12"/>
    </row>
    <row r="148" customFormat="false" ht="15" hidden="false" customHeight="false" outlineLevel="0" collapsed="false">
      <c r="A148" s="12"/>
      <c r="B148" s="12"/>
      <c r="C148" s="14"/>
      <c r="D148" s="12"/>
      <c r="E148" s="14"/>
      <c r="F148" s="12"/>
    </row>
    <row r="149" customFormat="false" ht="15" hidden="false" customHeight="false" outlineLevel="0" collapsed="false">
      <c r="A149" s="12"/>
      <c r="B149" s="12"/>
      <c r="C149" s="14"/>
      <c r="D149" s="12"/>
      <c r="E149" s="14"/>
      <c r="F149" s="12"/>
    </row>
    <row r="150" customFormat="false" ht="15" hidden="false" customHeight="false" outlineLevel="0" collapsed="false">
      <c r="A150" s="12"/>
      <c r="B150" s="12"/>
      <c r="C150" s="14"/>
      <c r="D150" s="12"/>
      <c r="E150" s="14"/>
      <c r="F150" s="12"/>
    </row>
    <row r="151" customFormat="false" ht="15" hidden="false" customHeight="false" outlineLevel="0" collapsed="false">
      <c r="A151" s="12"/>
      <c r="B151" s="12"/>
      <c r="C151" s="14"/>
      <c r="D151" s="12"/>
      <c r="E151" s="14"/>
      <c r="F151" s="12"/>
    </row>
    <row r="152" customFormat="false" ht="15" hidden="false" customHeight="false" outlineLevel="0" collapsed="false">
      <c r="A152" s="12"/>
      <c r="B152" s="12"/>
      <c r="C152" s="14"/>
      <c r="D152" s="12"/>
      <c r="E152" s="14"/>
      <c r="F152" s="12"/>
    </row>
    <row r="153" customFormat="false" ht="15" hidden="false" customHeight="false" outlineLevel="0" collapsed="false">
      <c r="A153" s="12"/>
      <c r="B153" s="12"/>
      <c r="C153" s="14"/>
      <c r="D153" s="12"/>
      <c r="E153" s="14"/>
      <c r="F153" s="12"/>
    </row>
    <row r="154" customFormat="false" ht="15" hidden="false" customHeight="false" outlineLevel="0" collapsed="false">
      <c r="A154" s="12"/>
      <c r="B154" s="12"/>
      <c r="C154" s="14"/>
      <c r="D154" s="12"/>
      <c r="E154" s="14"/>
      <c r="F154" s="12"/>
    </row>
    <row r="155" customFormat="false" ht="15" hidden="false" customHeight="false" outlineLevel="0" collapsed="false">
      <c r="A155" s="12"/>
      <c r="B155" s="12"/>
      <c r="C155" s="14"/>
      <c r="D155" s="12"/>
      <c r="E155" s="14"/>
      <c r="F155" s="12"/>
    </row>
    <row r="156" customFormat="false" ht="15" hidden="false" customHeight="false" outlineLevel="0" collapsed="false">
      <c r="A156" s="12"/>
      <c r="B156" s="12"/>
      <c r="C156" s="14"/>
      <c r="D156" s="12"/>
      <c r="E156" s="14"/>
      <c r="F156" s="12"/>
    </row>
    <row r="157" customFormat="false" ht="15" hidden="false" customHeight="false" outlineLevel="0" collapsed="false">
      <c r="A157" s="12"/>
      <c r="B157" s="12"/>
      <c r="C157" s="14"/>
      <c r="D157" s="12"/>
      <c r="E157" s="14"/>
      <c r="F157" s="12"/>
    </row>
    <row r="158" customFormat="false" ht="15" hidden="false" customHeight="false" outlineLevel="0" collapsed="false">
      <c r="A158" s="12"/>
      <c r="B158" s="12"/>
      <c r="C158" s="14"/>
      <c r="D158" s="12"/>
      <c r="E158" s="14"/>
      <c r="F158" s="12"/>
    </row>
    <row r="159" customFormat="false" ht="15" hidden="false" customHeight="false" outlineLevel="0" collapsed="false">
      <c r="A159" s="12"/>
      <c r="B159" s="12"/>
      <c r="C159" s="14"/>
      <c r="D159" s="12"/>
      <c r="E159" s="14"/>
      <c r="F159" s="12"/>
    </row>
    <row r="160" customFormat="false" ht="15" hidden="false" customHeight="false" outlineLevel="0" collapsed="false">
      <c r="A160" s="12"/>
      <c r="B160" s="12"/>
      <c r="C160" s="14"/>
      <c r="D160" s="12"/>
      <c r="E160" s="14"/>
      <c r="F160" s="12"/>
    </row>
    <row r="161" customFormat="false" ht="15" hidden="false" customHeight="false" outlineLevel="0" collapsed="false">
      <c r="A161" s="12"/>
      <c r="B161" s="12"/>
      <c r="C161" s="14"/>
      <c r="D161" s="12"/>
      <c r="E161" s="14"/>
      <c r="F161" s="12"/>
    </row>
    <row r="162" customFormat="false" ht="15" hidden="false" customHeight="false" outlineLevel="0" collapsed="false">
      <c r="A162" s="12"/>
      <c r="B162" s="12"/>
      <c r="C162" s="14"/>
      <c r="D162" s="12"/>
      <c r="E162" s="14"/>
      <c r="F162" s="12"/>
    </row>
    <row r="163" customFormat="false" ht="15" hidden="false" customHeight="false" outlineLevel="0" collapsed="false">
      <c r="A163" s="12"/>
      <c r="B163" s="12"/>
      <c r="C163" s="14"/>
      <c r="D163" s="12"/>
      <c r="E163" s="14"/>
      <c r="F163" s="12"/>
    </row>
    <row r="164" customFormat="false" ht="15" hidden="false" customHeight="false" outlineLevel="0" collapsed="false">
      <c r="A164" s="12"/>
      <c r="B164" s="12"/>
      <c r="C164" s="14"/>
      <c r="D164" s="12"/>
      <c r="E164" s="14"/>
      <c r="F164" s="12"/>
    </row>
    <row r="165" customFormat="false" ht="15" hidden="false" customHeight="false" outlineLevel="0" collapsed="false">
      <c r="A165" s="12"/>
      <c r="B165" s="12"/>
      <c r="C165" s="14"/>
      <c r="D165" s="12"/>
      <c r="E165" s="14"/>
      <c r="F165" s="12"/>
    </row>
    <row r="166" customFormat="false" ht="15" hidden="false" customHeight="false" outlineLevel="0" collapsed="false">
      <c r="A166" s="12"/>
      <c r="B166" s="12"/>
      <c r="C166" s="14"/>
      <c r="D166" s="12"/>
      <c r="E166" s="14"/>
      <c r="F166" s="12"/>
    </row>
    <row r="167" customFormat="false" ht="15" hidden="false" customHeight="false" outlineLevel="0" collapsed="false">
      <c r="A167" s="12"/>
      <c r="B167" s="12"/>
      <c r="C167" s="14"/>
      <c r="D167" s="12"/>
      <c r="E167" s="14"/>
      <c r="F167" s="12"/>
    </row>
    <row r="168" customFormat="false" ht="15" hidden="false" customHeight="false" outlineLevel="0" collapsed="false">
      <c r="A168" s="12"/>
      <c r="B168" s="12"/>
      <c r="C168" s="14"/>
      <c r="D168" s="12"/>
      <c r="E168" s="14"/>
      <c r="F168" s="12"/>
    </row>
    <row r="169" customFormat="false" ht="15" hidden="false" customHeight="false" outlineLevel="0" collapsed="false">
      <c r="A169" s="12"/>
      <c r="B169" s="12"/>
      <c r="C169" s="14"/>
      <c r="D169" s="12"/>
      <c r="E169" s="14"/>
      <c r="F169" s="12"/>
    </row>
    <row r="170" customFormat="false" ht="15" hidden="false" customHeight="false" outlineLevel="0" collapsed="false">
      <c r="A170" s="12"/>
      <c r="B170" s="12"/>
      <c r="C170" s="14"/>
      <c r="D170" s="12"/>
      <c r="E170" s="14"/>
      <c r="F170" s="12"/>
    </row>
    <row r="171" customFormat="false" ht="15" hidden="false" customHeight="false" outlineLevel="0" collapsed="false">
      <c r="A171" s="12"/>
      <c r="B171" s="12"/>
      <c r="C171" s="14"/>
      <c r="D171" s="12"/>
      <c r="E171" s="14"/>
      <c r="F171" s="12"/>
    </row>
    <row r="172" customFormat="false" ht="15" hidden="false" customHeight="false" outlineLevel="0" collapsed="false">
      <c r="A172" s="12"/>
      <c r="B172" s="12"/>
      <c r="C172" s="14"/>
      <c r="D172" s="12"/>
      <c r="E172" s="14"/>
      <c r="F172" s="12"/>
    </row>
    <row r="173" customFormat="false" ht="15" hidden="false" customHeight="false" outlineLevel="0" collapsed="false">
      <c r="A173" s="12"/>
      <c r="B173" s="12"/>
      <c r="C173" s="14"/>
      <c r="D173" s="12"/>
      <c r="E173" s="14"/>
      <c r="F173" s="12"/>
    </row>
    <row r="174" customFormat="false" ht="15" hidden="false" customHeight="false" outlineLevel="0" collapsed="false">
      <c r="A174" s="12"/>
      <c r="B174" s="12"/>
      <c r="C174" s="14"/>
      <c r="D174" s="12"/>
      <c r="E174" s="14"/>
      <c r="F174" s="12"/>
    </row>
    <row r="175" customFormat="false" ht="15" hidden="false" customHeight="false" outlineLevel="0" collapsed="false">
      <c r="A175" s="12"/>
      <c r="B175" s="12"/>
      <c r="C175" s="14"/>
      <c r="D175" s="12"/>
      <c r="E175" s="14"/>
      <c r="F175" s="12"/>
    </row>
    <row r="176" customFormat="false" ht="15" hidden="false" customHeight="false" outlineLevel="0" collapsed="false">
      <c r="A176" s="12"/>
      <c r="B176" s="12"/>
      <c r="C176" s="14"/>
      <c r="D176" s="12"/>
      <c r="E176" s="14"/>
      <c r="F176" s="12"/>
    </row>
    <row r="177" customFormat="false" ht="15" hidden="false" customHeight="false" outlineLevel="0" collapsed="false">
      <c r="A177" s="12"/>
      <c r="B177" s="12"/>
      <c r="C177" s="14"/>
      <c r="D177" s="12"/>
      <c r="E177" s="14"/>
      <c r="F177" s="12"/>
    </row>
    <row r="178" customFormat="false" ht="15" hidden="false" customHeight="false" outlineLevel="0" collapsed="false">
      <c r="A178" s="12"/>
      <c r="B178" s="12"/>
      <c r="C178" s="14"/>
      <c r="D178" s="12"/>
      <c r="E178" s="14"/>
      <c r="F178" s="12"/>
    </row>
    <row r="179" customFormat="false" ht="15" hidden="false" customHeight="false" outlineLevel="0" collapsed="false">
      <c r="A179" s="12"/>
      <c r="B179" s="12"/>
      <c r="C179" s="14"/>
      <c r="D179" s="12"/>
      <c r="E179" s="14"/>
      <c r="F179" s="12"/>
    </row>
    <row r="180" customFormat="false" ht="15" hidden="false" customHeight="false" outlineLevel="0" collapsed="false">
      <c r="A180" s="12"/>
      <c r="B180" s="12"/>
      <c r="C180" s="14"/>
      <c r="D180" s="12"/>
      <c r="E180" s="14"/>
      <c r="F180" s="12"/>
    </row>
    <row r="181" customFormat="false" ht="15" hidden="false" customHeight="false" outlineLevel="0" collapsed="false">
      <c r="A181" s="12"/>
      <c r="B181" s="12"/>
      <c r="C181" s="14"/>
      <c r="D181" s="12"/>
      <c r="E181" s="14"/>
      <c r="F181" s="12"/>
    </row>
    <row r="182" customFormat="false" ht="15" hidden="false" customHeight="false" outlineLevel="0" collapsed="false">
      <c r="A182" s="12"/>
      <c r="B182" s="12"/>
      <c r="C182" s="14"/>
      <c r="D182" s="12"/>
      <c r="E182" s="14"/>
      <c r="F182" s="12"/>
    </row>
    <row r="183" customFormat="false" ht="15" hidden="false" customHeight="false" outlineLevel="0" collapsed="false">
      <c r="A183" s="12"/>
      <c r="B183" s="12"/>
      <c r="C183" s="14"/>
      <c r="D183" s="12"/>
      <c r="E183" s="14"/>
      <c r="F183" s="12"/>
    </row>
    <row r="184" customFormat="false" ht="15" hidden="false" customHeight="false" outlineLevel="0" collapsed="false">
      <c r="A184" s="12"/>
      <c r="B184" s="12"/>
      <c r="C184" s="14"/>
      <c r="D184" s="12"/>
      <c r="E184" s="14"/>
      <c r="F184" s="12"/>
    </row>
    <row r="185" customFormat="false" ht="15" hidden="false" customHeight="false" outlineLevel="0" collapsed="false">
      <c r="A185" s="12"/>
      <c r="B185" s="12"/>
      <c r="C185" s="14"/>
      <c r="D185" s="12"/>
      <c r="E185" s="14"/>
      <c r="F185" s="12"/>
    </row>
    <row r="186" customFormat="false" ht="15" hidden="false" customHeight="false" outlineLevel="0" collapsed="false">
      <c r="A186" s="12"/>
      <c r="B186" s="12"/>
      <c r="C186" s="14"/>
      <c r="D186" s="12"/>
      <c r="E186" s="14"/>
      <c r="F186" s="12"/>
    </row>
    <row r="187" customFormat="false" ht="15" hidden="false" customHeight="false" outlineLevel="0" collapsed="false">
      <c r="A187" s="12"/>
      <c r="B187" s="12"/>
      <c r="C187" s="14"/>
      <c r="D187" s="12"/>
      <c r="E187" s="14"/>
      <c r="F187" s="12"/>
    </row>
    <row r="188" customFormat="false" ht="15" hidden="false" customHeight="false" outlineLevel="0" collapsed="false">
      <c r="A188" s="12"/>
      <c r="B188" s="12"/>
      <c r="C188" s="14"/>
      <c r="D188" s="12"/>
      <c r="E188" s="14"/>
      <c r="F188" s="12"/>
    </row>
    <row r="189" customFormat="false" ht="15" hidden="false" customHeight="false" outlineLevel="0" collapsed="false">
      <c r="A189" s="12"/>
      <c r="B189" s="12"/>
      <c r="C189" s="14"/>
      <c r="D189" s="12"/>
      <c r="E189" s="14"/>
      <c r="F189" s="12"/>
    </row>
    <row r="190" customFormat="false" ht="15" hidden="false" customHeight="false" outlineLevel="0" collapsed="false">
      <c r="A190" s="12"/>
      <c r="B190" s="12"/>
      <c r="C190" s="14"/>
      <c r="D190" s="12"/>
      <c r="E190" s="14"/>
      <c r="F190" s="12"/>
    </row>
    <row r="191" customFormat="false" ht="15" hidden="false" customHeight="false" outlineLevel="0" collapsed="false">
      <c r="A191" s="12"/>
      <c r="B191" s="12"/>
      <c r="C191" s="14"/>
      <c r="D191" s="12"/>
      <c r="E191" s="14"/>
      <c r="F191" s="12"/>
    </row>
    <row r="192" customFormat="false" ht="15" hidden="false" customHeight="false" outlineLevel="0" collapsed="false">
      <c r="A192" s="12"/>
      <c r="B192" s="12"/>
      <c r="C192" s="14"/>
      <c r="D192" s="12"/>
      <c r="E192" s="14"/>
      <c r="F192" s="12"/>
    </row>
    <row r="193" customFormat="false" ht="15" hidden="false" customHeight="false" outlineLevel="0" collapsed="false">
      <c r="A193" s="12"/>
      <c r="B193" s="12"/>
      <c r="C193" s="14"/>
      <c r="D193" s="12"/>
      <c r="E193" s="14"/>
      <c r="F193" s="12"/>
    </row>
    <row r="194" customFormat="false" ht="15" hidden="false" customHeight="false" outlineLevel="0" collapsed="false">
      <c r="A194" s="12"/>
      <c r="B194" s="12"/>
      <c r="C194" s="14"/>
      <c r="D194" s="12"/>
      <c r="E194" s="14"/>
      <c r="F194" s="12"/>
    </row>
    <row r="195" customFormat="false" ht="15" hidden="false" customHeight="false" outlineLevel="0" collapsed="false">
      <c r="A195" s="12"/>
      <c r="B195" s="12"/>
      <c r="C195" s="14"/>
      <c r="D195" s="12"/>
      <c r="E195" s="14"/>
      <c r="F195" s="12"/>
    </row>
    <row r="196" customFormat="false" ht="15" hidden="false" customHeight="false" outlineLevel="0" collapsed="false">
      <c r="A196" s="12"/>
      <c r="B196" s="12"/>
      <c r="C196" s="14"/>
      <c r="D196" s="12"/>
      <c r="E196" s="14"/>
      <c r="F196" s="12"/>
    </row>
    <row r="197" customFormat="false" ht="15" hidden="false" customHeight="false" outlineLevel="0" collapsed="false">
      <c r="A197" s="12"/>
      <c r="B197" s="12"/>
      <c r="C197" s="14"/>
      <c r="D197" s="12"/>
      <c r="E197" s="14"/>
      <c r="F197" s="12"/>
    </row>
    <row r="198" customFormat="false" ht="15" hidden="false" customHeight="false" outlineLevel="0" collapsed="false">
      <c r="A198" s="12"/>
      <c r="B198" s="12"/>
      <c r="C198" s="14"/>
      <c r="D198" s="12"/>
      <c r="E198" s="14"/>
      <c r="F198" s="12"/>
    </row>
    <row r="199" customFormat="false" ht="15" hidden="false" customHeight="false" outlineLevel="0" collapsed="false">
      <c r="A199" s="12"/>
      <c r="B199" s="12"/>
      <c r="C199" s="14"/>
      <c r="D199" s="12"/>
      <c r="E199" s="14"/>
      <c r="F199" s="12"/>
    </row>
    <row r="200" customFormat="false" ht="15" hidden="false" customHeight="false" outlineLevel="0" collapsed="false">
      <c r="A200" s="12"/>
      <c r="B200" s="12"/>
      <c r="C200" s="14"/>
      <c r="D200" s="12"/>
      <c r="E200" s="14"/>
      <c r="F200" s="12"/>
    </row>
    <row r="201" customFormat="false" ht="15" hidden="false" customHeight="false" outlineLevel="0" collapsed="false">
      <c r="A201" s="12"/>
      <c r="B201" s="12"/>
      <c r="C201" s="14"/>
      <c r="D201" s="12"/>
      <c r="E201" s="14"/>
      <c r="F201" s="12"/>
    </row>
  </sheetData>
  <dataValidations count="1">
    <dataValidation allowBlank="true" errorStyle="stop" operator="between" showDropDown="false" showErrorMessage="false" showInputMessage="false" sqref="D2:D201" type="list">
      <formula1>"Email,Téléphone,Autre"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2026-10-10T13:18:56Z</dcterms:created>
  <dc:creator>openpyxl</dc:creator>
  <dc:description/>
  <dc:language>en-US</dc:language>
  <cp:lastModifiedBy/>
  <dcterms:modified xsi:type="dcterms:W3CDTF">2026-10-10T13:18:57Z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